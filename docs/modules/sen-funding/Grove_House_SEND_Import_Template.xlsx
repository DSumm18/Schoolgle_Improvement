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55a93224742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06f42bee3ef47da"/>
    <x:sheet xmlns:r="http://schemas.openxmlformats.org/officeDocument/2006/relationships" name="send_register" sheetId="2" r:id="R453b3edbced14a3b"/>
    <x:sheet xmlns:r="http://schemas.openxmlformats.org/officeDocument/2006/relationships" name="ehcp_provision_lines" sheetId="3" r:id="R711edc6352fd4ef8"/>
    <x:sheet xmlns:r="http://schemas.openxmlformats.org/officeDocument/2006/relationships" name="funding_components" sheetId="4" r:id="Rfbdf6fc0ecfe439a"/>
    <x:sheet xmlns:r="http://schemas.openxmlformats.org/officeDocument/2006/relationships" name="action_queue" sheetId="5" r:id="R4d873a07ff4b404d"/>
    <x:sheet xmlns:r="http://schemas.openxmlformats.org/officeDocument/2006/relationships" name="evidence_files" sheetId="6" r:id="R3da7ad58dc9c48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£#,##0"/>
    <x:numFmt numFmtId="203" formatCode="0.0"/>
  </x:numFmts>
  <x:fonts count="6">
    <x:font>
      <x:sz val="11"/>
      <x:name val="Carlito"/>
    </x:font>
    <x:font>
      <x:b/>
      <x:sz val="16"/>
      <x:color rgb="FFFFFF"/>
      <x:name val="Aptos"/>
    </x:font>
    <x:font>
      <x:sz val="11"/>
      <x:color rgb="1F2937"/>
      <x:name val="Aptos"/>
    </x:font>
    <x:font>
      <x:b/>
      <x:sz val="11"/>
      <x:color rgb="16362F"/>
      <x:name val="Aptos"/>
    </x:font>
    <x:font>
      <x:sz val="10"/>
      <x:color rgb="1F2937"/>
      <x:name val="Aptos"/>
    </x:font>
    <x:font>
      <x:b/>
      <x:sz val="10"/>
      <x:color rgb="16362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16362F"/>
      </x:patternFill>
    </x:fill>
    <x:fill>
      <x:patternFill patternType="solid">
        <x:fgColor rgb="EAF2F0"/>
      </x:patternFill>
    </x:fill>
  </x:fills>
  <x:borders count="4">
    <x:border/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C8D8D4"/>
      </x:left>
      <x:right style="thin">
        <x:color rgb="C8D8D4"/>
      </x:right>
      <x:top style="thin">
        <x:color rgb="C8D8D4"/>
      </x:top>
      <x:bottom style="thin">
        <x:color rgb="C8D8D4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3" borderId="2" xfId="0" applyNumberFormat="1" applyFont="1" applyFill="1" applyBorder="1"/>
    <x:xf numFmtId="0" fontId="5" fillId="3" borderId="2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2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horizontal="center" vertical="top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4" fillId="0" borderId="2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4" fillId="0" borderId="2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3" fontId="4" fillId="0" borderId="2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2179c8b5ed492b" /><Relationship Type="http://schemas.openxmlformats.org/officeDocument/2006/relationships/theme" Target="/xl/theme/theme1.xml" Id="R571dfa5ba6654521" /><Relationship Type="http://schemas.microsoft.com/office/2022/11/relationships/FeaturePropertyBag" Target="/xl/featurePropertyBag/featurePropertyBag.xml" Id="Rc30ace33d9534b5d" /><Relationship Type="http://schemas.openxmlformats.org/officeDocument/2006/relationships/sharedStrings" Target="/xl/sharedStrings.xml" Id="Rca3509a996c64948" /><Relationship Type="http://schemas.openxmlformats.org/officeDocument/2006/relationships/worksheet" Target="/xl/worksheets/sheet1.xml" Id="Rc06f42bee3ef47da" /><Relationship Type="http://schemas.openxmlformats.org/officeDocument/2006/relationships/worksheet" Target="/xl/worksheets/sheet2.xml" Id="R453b3edbced14a3b" /><Relationship Type="http://schemas.openxmlformats.org/officeDocument/2006/relationships/worksheet" Target="/xl/worksheets/sheet3.xml" Id="R711edc6352fd4ef8" /><Relationship Type="http://schemas.openxmlformats.org/officeDocument/2006/relationships/worksheet" Target="/xl/worksheets/sheet4.xml" Id="Rfbdf6fc0ecfe439a" /><Relationship Type="http://schemas.openxmlformats.org/officeDocument/2006/relationships/worksheet" Target="/xl/worksheets/sheet5.xml" Id="R4d873a07ff4b404d" /><Relationship Type="http://schemas.openxmlformats.org/officeDocument/2006/relationships/worksheet" Target="/xl/worksheets/sheet6.xml" Id="R3da7ad58dc9c48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61093e254240e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Demo pupils by primary need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Pupils</c:v>
          </c:tx>
          <c:cat>
            <c:strLit>
              <c:ptCount val="4"/>
              <c:pt idx="0">
                <c:v>ASD</c:v>
              </c:pt>
              <c:pt idx="1">
                <c:v>SLCN</c:v>
              </c:pt>
              <c:pt idx="2">
                <c:v>SEMH</c:v>
              </c:pt>
              <c:pt idx="3">
                <c:v>Cognition &amp; Learning</c:v>
              </c:pt>
            </c:strLit>
          </c:cat>
          <c:val>
            <c:numLit>
              <c:formatCode/>
              <c:ptCount val="4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11</xdr:row>
      <xdr:rowOff>0</xdr:rowOff>
    </xdr:from>
    <xdr:ext cx="4381500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61093e254240e5"/>
        </a:graphicData>
      </a:graphic>
    </xdr:graphicFrame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e010b1606e4c14" /></Relationships>
</file>

<file path=xl/worksheets/sheet1.xml><?xml version="1.0" encoding="utf-8"?>
<x:worksheet xmlns:x="http://schemas.openxmlformats.org/spreadsheetml/2006/main">
  <x:sheetFormatPr defaultRowHeight="15"/>
  <x:cols>
    <x:col min="1" max="1" width="42.79999923706055" hidden="0" customWidth="1"/>
    <x:col min="2" max="2" width="93.2699966430664" hidden="0" customWidth="1"/>
    <x:col min="4" max="4" width="19.780000686645508" hidden="0" customWidth="1"/>
    <x:col min="5" max="5" width="4.440000057220459" hidden="0" customWidth="1"/>
  </x:cols>
  <x:sheetData>
    <x:row r="1">
      <x:c r="A1" s="3" t="str">
        <x:v>Grove House SEND Import Template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3">
      <x:c r="A3" t="str">
        <x:v>Purpose</x:v>
      </x:c>
      <x:c r="B3" t="str">
        <x:v>Mock workbook matching the Arbor direct / connected sheet / CSV schema for SEND &amp; Inclusion Copilot.</x:v>
      </x:c>
      <x:c r="D3" s="9" t="str">
        <x:v>KPI</x:v>
      </x:c>
      <x:c r="E3" s="9" t="str">
        <x:v>Value</x:v>
      </x:c>
    </x:row>
    <x:row r="4">
      <x:c r="A4" t="str">
        <x:v>Routes</x:v>
      </x:c>
      <x:c r="B4" t="str">
        <x:v>Arbor API if the school approves the integration; Arbor-exported connected sheet; manual CSV upload.</x:v>
      </x:c>
      <x:c r="D4" s="6" t="str">
        <x:v>SEND register pupils</x:v>
      </x:c>
      <x:c r="E4" s="6" t="n">
        <x:f>COUNTA(send_register!C2:C100)</x:f>
        <x:v>5</x:v>
      </x:c>
    </x:row>
    <x:row r="5">
      <x:c r="A5" t="str">
        <x:v>Data level</x:v>
      </x:c>
      <x:c r="B5" t="str">
        <x:v>Demo data only. Replace names/UPNs with real school data through approved import route.</x:v>
      </x:c>
      <x:c r="D5" s="6" t="str">
        <x:v>EHCP plans</x:v>
      </x:c>
      <x:c r="E5" s="6" t="n">
        <x:f>COUNTIF(send_register!K2:K100,"EHCP")</x:f>
        <x:v>3</x:v>
      </x:c>
    </x:row>
    <x:row r="6">
      <x:c r="A6" t="str">
        <x:v>Source of truth</x:v>
      </x:c>
      <x:c r="B6" t="str">
        <x:v>MIS keeps pupil identity/roll data; Schoolgle keeps SEND workflow, notes, evidence, funding reconciliation and audit.</x:v>
      </x:c>
      <x:c r="D6" s="6" t="str">
        <x:v>SEN Support pupils</x:v>
      </x:c>
      <x:c r="E6" s="6" t="n">
        <x:f>COUNTIF(send_register!K2:K100,"SEN Support")</x:f>
        <x:v>2</x:v>
      </x:c>
    </x:row>
    <x:row r="7">
      <x:c r="A7" t="str">
        <x:v>Safe default</x:v>
      </x:c>
      <x:c r="B7" t="str">
        <x:v>Read-only MIS import. Write-back is disabled unless explicitly approved and audited.</x:v>
      </x:c>
      <x:c r="D7" s="6" t="str">
        <x:v>Open actions</x:v>
      </x:c>
      <x:c r="E7" s="6" t="n">
        <x:f>SUM(send_register!V2:V100)</x:f>
        <x:v>17</x:v>
      </x:c>
    </x:row>
    <x:row r="8">
      <x:c r="A8" t="str">
        <x:v>Report ready?</x:v>
      </x:c>
      <x:c r="B8" t="str">
        <x:v>Yes for a demo SEND report; production requires a real Arbor export/API approval and local authority funding rules.</x:v>
      </x:c>
      <x:c r="D8" s="6" t="str">
        <x:v>High-risk pupils</x:v>
      </x:c>
      <x:c r="E8" s="6" t="n">
        <x:f>COUNTIF(send_register!AA2:AA100,"High")</x:f>
        <x:v>2</x:v>
      </x:c>
    </x:row>
    <x:row r="9">
      <x:c r="A9" t="str">
        <x:v>Last updated</x:v>
      </x:c>
      <x:c r="B9" t="str">
        <x:v>2026-05-11</x:v>
      </x:c>
      <x:c r="D9" s="6" t="str">
        <x:v>Expected annual funding</x:v>
      </x:c>
      <x:c r="E9" s="6" t="n">
        <x:f>SUM(funding_components!E2:E100)</x:f>
        <x:v>44700</x:v>
      </x:c>
    </x:row>
    <x:row r="10">
      <x:c r="D10" s="6" t="str">
        <x:v>Evidence readiness avg</x:v>
      </x:c>
      <x:c r="E10" s="6" t="n">
        <x:f>AVERAGE(send_register!U2:U100)</x:f>
        <x:v>64.4</x:v>
      </x:c>
    </x:row>
    <x:row r="12">
      <x:c r="A12" s="13" t="str">
        <x:v>Primary need</x:v>
      </x:c>
      <x:c r="B12" s="13" t="str">
        <x:v>Pupils</x:v>
      </x:c>
    </x:row>
    <x:row r="13">
      <x:c r="A13" s="11" t="str">
        <x:v>ASD</x:v>
      </x:c>
      <x:c r="B13" s="11" t="n">
        <x:v>2</x:v>
      </x:c>
    </x:row>
    <x:row r="14">
      <x:c r="A14" s="11" t="str">
        <x:v>SLCN</x:v>
      </x:c>
      <x:c r="B14" s="11" t="n">
        <x:v>1</x:v>
      </x:c>
    </x:row>
    <x:row r="15">
      <x:c r="A15" s="11" t="str">
        <x:v>SEMH</x:v>
      </x:c>
      <x:c r="B15" s="11" t="n">
        <x:v>1</x:v>
      </x:c>
    </x:row>
    <x:row r="16">
      <x:c r="A16" s="11" t="str">
        <x:v>Cognition &amp; Learning</x:v>
      </x:c>
      <x:c r="B16" s="11" t="n">
        <x:v>1</x:v>
      </x:c>
    </x:row>
  </x:sheetData>
  <x:pageMargins left="0.7" right="0.7" top="0.75" bottom="0.75" header="0.3" footer="0.3"/>
  <x:drawing xmlns:r="http://schemas.openxmlformats.org/officeDocument/2006/relationships" r:id="R77e010b1606e4c14"/>
</x:worksheet>
</file>

<file path=xl/worksheets/sheet2.xml><?xml version="1.0" encoding="utf-8"?>
<x:worksheet xmlns:x="http://schemas.openxmlformats.org/spreadsheetml/2006/main">
  <x:sheetFormatPr defaultRowHeight="15"/>
  <x:cols>
    <x:col min="1" max="1" width="20.59000015258789" hidden="0" customWidth="1"/>
    <x:col min="2" max="2" width="16.549999237060547" hidden="0" customWidth="1"/>
    <x:col min="3" max="3" width="12.789999961853027" hidden="0" customWidth="1"/>
    <x:col min="4" max="4" width="12.649999618530273" hidden="0" customWidth="1"/>
    <x:col min="5" max="5" width="14.270000457763672" hidden="0" customWidth="1"/>
    <x:col min="6" max="6" width="12.380000114440918" hidden="0" customWidth="1"/>
    <x:col min="7" max="7" width="12.109999656677246" hidden="0" customWidth="1"/>
    <x:col min="8" max="8" width="12.109999656677246" hidden="0" customWidth="1"/>
    <x:col min="9" max="9" width="8.479999542236328" hidden="0" customWidth="1"/>
    <x:col min="10" max="10" width="8.609999656677246" hidden="0" customWidth="1"/>
    <x:col min="11" max="11" width="9.020000457763672" hidden="0" customWidth="1"/>
    <x:col min="12" max="12" width="7" hidden="0" customWidth="1"/>
    <x:col min="13" max="13" width="15.210000038146973" hidden="0" customWidth="1"/>
    <x:col min="14" max="14" width="12.25" hidden="0" customWidth="1"/>
    <x:col min="15" max="15" width="8.609999656677246" hidden="0" customWidth="1"/>
    <x:col min="16" max="16" width="10.630000114440918" hidden="0" customWidth="1"/>
    <x:col min="17" max="17" width="12.109999656677246" hidden="0" customWidth="1"/>
    <x:col min="18" max="18" width="14.670000076293945" hidden="0" customWidth="1"/>
    <x:col min="19" max="19" width="10.630000114440918" hidden="0" customWidth="1"/>
    <x:col min="20" max="20" width="60.970001220703125" hidden="0" customWidth="1"/>
    <x:col min="21" max="21" width="18.299999237060547" hidden="0" customWidth="1"/>
    <x:col min="22" max="22" width="9.960000038146973" hidden="0" customWidth="1"/>
    <x:col min="23" max="23" width="10.359999656677246" hidden="0" customWidth="1"/>
    <x:col min="24" max="24" width="10.359999656677246" hidden="0" customWidth="1"/>
    <x:col min="25" max="25" width="19.3799991607666" hidden="0" customWidth="1"/>
    <x:col min="26" max="26" width="14.9399995803833" hidden="0" customWidth="1"/>
    <x:col min="27" max="27" width="7" hidden="0" customWidth="1"/>
    <x:col min="28" max="28" width="15.069999694824219" hidden="0" customWidth="1"/>
    <x:col min="29" max="29" width="13.859999656677246" hidden="0" customWidth="1"/>
    <x:col min="30" max="30" width="11.170000076293945" hidden="0" customWidth="1"/>
  </x:cols>
  <x:sheetData>
    <x:row r="1" ht="15" hidden="0" customHeight="1">
      <x:c r="A1" s="25" t="str">
        <x:v>school_name</x:v>
      </x:c>
      <x:c r="B1" s="25" t="str">
        <x:v>source_route</x:v>
      </x:c>
      <x:c r="C1" s="25" t="str">
        <x:v>source_record_id</x:v>
      </x:c>
      <x:c r="D1" s="25" t="str">
        <x:v>upn</x:v>
      </x:c>
      <x:c r="E1" s="25" t="str">
        <x:v>admission_number</x:v>
      </x:c>
      <x:c r="F1" s="25" t="str">
        <x:v>legal_first_name</x:v>
      </x:c>
      <x:c r="G1" s="25" t="str">
        <x:v>legal_last_name</x:v>
      </x:c>
      <x:c r="H1" s="25" t="str">
        <x:v>preferred_name</x:v>
      </x:c>
      <x:c r="I1" s="25" t="str">
        <x:v>year_group</x:v>
      </x:c>
      <x:c r="J1" s="25" t="str">
        <x:v>class_name</x:v>
      </x:c>
      <x:c r="K1" s="25" t="str">
        <x:v>sen_status</x:v>
      </x:c>
      <x:c r="L1" s="25" t="str">
        <x:v>has_ehcp</x:v>
      </x:c>
      <x:c r="M1" s="25" t="str">
        <x:v>primary_need</x:v>
      </x:c>
      <x:c r="N1" s="25" t="str">
        <x:v>secondary_need</x:v>
      </x:c>
      <x:c r="O1" s="25" t="str">
        <x:v>key_worker</x:v>
      </x:c>
      <x:c r="P1" s="25" t="str">
        <x:v>case_owner</x:v>
      </x:c>
      <x:c r="Q1" s="25" t="str">
        <x:v>ehcp_start_date</x:v>
      </x:c>
      <x:c r="R1" s="25" t="str">
        <x:v>annual_review_due</x:v>
      </x:c>
      <x:c r="S1" s="25" t="str">
        <x:v>next_deadline</x:v>
      </x:c>
      <x:c r="T1" s="25" t="str">
        <x:v>next_statutory_step</x:v>
      </x:c>
      <x:c r="U1" s="25" t="str">
        <x:v>evidence_ready_percent</x:v>
      </x:c>
      <x:c r="V1" s="25" t="str">
        <x:v>open_actions</x:v>
      </x:c>
      <x:c r="W1" s="25" t="str">
        <x:v>funding_band</x:v>
      </x:c>
      <x:c r="X1" s="25" t="str">
        <x:v>funded_hours</x:v>
      </x:c>
      <x:c r="Y1" s="25" t="str">
        <x:v>expected_annual_funding</x:v>
      </x:c>
      <x:c r="Z1" s="25" t="str">
        <x:v>attendance_percent</x:v>
      </x:c>
      <x:c r="AA1" s="25" t="str">
        <x:v>risk_level</x:v>
      </x:c>
      <x:c r="AB1" s="25" t="str">
        <x:v>parent_voice_status</x:v>
      </x:c>
      <x:c r="AC1" s="25" t="str">
        <x:v>pupil_voice_status</x:v>
      </x:c>
      <x:c r="AD1" s="25" t="str">
        <x:v>last_note_date</x:v>
      </x:c>
    </x:row>
    <x:row r="2" ht="15" hidden="0" customHeight="1">
      <x:c r="A2" s="19" t="str">
        <x:v>Grove House Primary School</x:v>
      </x:c>
      <x:c r="B2" s="19" t="str">
        <x:v>Arbor connected sheet</x:v>
      </x:c>
      <x:c r="C2" s="19" t="str">
        <x:v>arbor-demo-1001</x:v>
      </x:c>
      <x:c r="D2" s="19" t="str">
        <x:v>DEMO-UPN-0001</x:v>
      </x:c>
      <x:c r="E2" s="19" t="str">
        <x:v>A001</x:v>
      </x:c>
      <x:c r="F2" s="19" t="str">
        <x:v>Amelia</x:v>
      </x:c>
      <x:c r="G2" s="19" t="str">
        <x:v>Roberts</x:v>
      </x:c>
      <x:c r="H2" s="19" t="str">
        <x:v>Amelia R</x:v>
      </x:c>
      <x:c r="I2" s="19" t="n">
        <x:v>5</x:v>
      </x:c>
      <x:c r="J2" s="19" t="str">
        <x:v>5B</x:v>
      </x:c>
      <x:c r="K2" s="19" t="str">
        <x:v>EHCP</x:v>
      </x:c>
      <x:c r="L2" s="20" t="b">
        <x:v>1</x:v>
      </x:c>
      <x:c r="M2" s="19" t="str">
        <x:v>ASD</x:v>
      </x:c>
      <x:c r="N2" s="19" t="str">
        <x:v>SLCN</x:v>
      </x:c>
      <x:c r="O2" s="19" t="str">
        <x:v>Mrs Khan</x:v>
      </x:c>
      <x:c r="P2" s="19" t="str">
        <x:v>SENCO</x:v>
      </x:c>
      <x:c r="Q2" s="26" t="n">
        <x:v>45453</x:v>
      </x:c>
      <x:c r="R2" s="26" t="n">
        <x:v>46163</x:v>
      </x:c>
      <x:c r="S2" s="26" t="n">
        <x:v>46155</x:v>
      </x:c>
      <x:c r="T2" s="26" t="str">
        <x:v>Issue annual review invitations and request updated advice</x:v>
      </x:c>
      <x:c r="U2" s="28" t="n">
        <x:v>78</x:v>
      </x:c>
      <x:c r="V2" s="19" t="n">
        <x:v>5</x:v>
      </x:c>
      <x:c r="W2" s="19" t="str">
        <x:v>Band 3</x:v>
      </x:c>
      <x:c r="X2" s="19" t="n">
        <x:v>20</x:v>
      </x:c>
      <x:c r="Y2" s="30" t="n">
        <x:v>12000</x:v>
      </x:c>
      <x:c r="Z2" s="32" t="n">
        <x:v>94.2</x:v>
      </x:c>
      <x:c r="AA2" s="19" t="str">
        <x:v>High</x:v>
      </x:c>
      <x:c r="AB2" s="19" t="str">
        <x:v>Captured</x:v>
      </x:c>
      <x:c r="AC2" s="19" t="str">
        <x:v>Captured</x:v>
      </x:c>
      <x:c r="AD2" s="26" t="n">
        <x:v>46150</x:v>
      </x:c>
    </x:row>
    <x:row r="3" ht="15" hidden="0" customHeight="1">
      <x:c r="A3" s="19" t="str">
        <x:v>Grove House Primary School</x:v>
      </x:c>
      <x:c r="B3" s="19" t="str">
        <x:v>Arbor connected sheet</x:v>
      </x:c>
      <x:c r="C3" s="19" t="str">
        <x:v>arbor-demo-1002</x:v>
      </x:c>
      <x:c r="D3" s="19" t="str">
        <x:v>DEMO-UPN-0002</x:v>
      </x:c>
      <x:c r="E3" s="19" t="str">
        <x:v>A002</x:v>
      </x:c>
      <x:c r="F3" s="19" t="str">
        <x:v>Jacob</x:v>
      </x:c>
      <x:c r="G3" s="19" t="str">
        <x:v>Miller</x:v>
      </x:c>
      <x:c r="H3" s="19" t="str">
        <x:v>Jacob M</x:v>
      </x:c>
      <x:c r="I3" s="19" t="n">
        <x:v>3</x:v>
      </x:c>
      <x:c r="J3" s="19" t="str">
        <x:v>3A</x:v>
      </x:c>
      <x:c r="K3" s="19" t="str">
        <x:v>SEN Support</x:v>
      </x:c>
      <x:c r="L3" s="20" t="b">
        <x:v>0</x:v>
      </x:c>
      <x:c r="M3" s="19" t="str">
        <x:v>SLCN</x:v>
      </x:c>
      <x:c r="N3" s="19" t="str"/>
      <x:c r="O3" s="19" t="str">
        <x:v>Mr Evans</x:v>
      </x:c>
      <x:c r="P3" s="19" t="str">
        <x:v>SENCO</x:v>
      </x:c>
      <x:c r="Q3" s="26"/>
      <x:c r="R3" s="26" t="n">
        <x:v>46206</x:v>
      </x:c>
      <x:c r="S3" s="26" t="n">
        <x:v>46160</x:v>
      </x:c>
      <x:c r="T3" s="26" t="str">
        <x:v>Run APDR review and decide whether EHCP needs assessment evidence is sufficient</x:v>
      </x:c>
      <x:c r="U3" s="28" t="n">
        <x:v>46</x:v>
      </x:c>
      <x:c r="V3" s="19" t="n">
        <x:v>4</x:v>
      </x:c>
      <x:c r="W3" s="19" t="str">
        <x:v>SEN Support</x:v>
      </x:c>
      <x:c r="X3" s="19" t="n">
        <x:v>6</x:v>
      </x:c>
      <x:c r="Y3" s="30" t="n">
        <x:v>2500</x:v>
      </x:c>
      <x:c r="Z3" s="32" t="n">
        <x:v>91.8</x:v>
      </x:c>
      <x:c r="AA3" s="19" t="str">
        <x:v>Medium</x:v>
      </x:c>
      <x:c r="AB3" s="19" t="str">
        <x:v>Needed</x:v>
      </x:c>
      <x:c r="AC3" s="19" t="str">
        <x:v>Captured</x:v>
      </x:c>
      <x:c r="AD3" s="26" t="n">
        <x:v>46148</x:v>
      </x:c>
    </x:row>
    <x:row r="4" ht="15" hidden="0" customHeight="1">
      <x:c r="A4" s="19" t="str">
        <x:v>Grove House Primary School</x:v>
      </x:c>
      <x:c r="B4" s="19" t="str">
        <x:v>CSV upload</x:v>
      </x:c>
      <x:c r="C4" s="19" t="str">
        <x:v>arbor-demo-1003</x:v>
      </x:c>
      <x:c r="D4" s="19" t="str">
        <x:v>DEMO-UPN-0003</x:v>
      </x:c>
      <x:c r="E4" s="19" t="str">
        <x:v>A003</x:v>
      </x:c>
      <x:c r="F4" s="19" t="str">
        <x:v>Sofia</x:v>
      </x:c>
      <x:c r="G4" s="19" t="str">
        <x:v>Begum</x:v>
      </x:c>
      <x:c r="H4" s="19" t="str">
        <x:v>Sofia B</x:v>
      </x:c>
      <x:c r="I4" s="19" t="n">
        <x:v>1</x:v>
      </x:c>
      <x:c r="J4" s="19" t="str">
        <x:v>1C</x:v>
      </x:c>
      <x:c r="K4" s="19" t="str">
        <x:v>EHCP</x:v>
      </x:c>
      <x:c r="L4" s="20" t="b">
        <x:v>1</x:v>
      </x:c>
      <x:c r="M4" s="19" t="str">
        <x:v>Cognition &amp; Learning</x:v>
      </x:c>
      <x:c r="N4" s="19" t="str">
        <x:v>Physical/Sensory</x:v>
      </x:c>
      <x:c r="O4" s="19" t="str">
        <x:v>Mrs Patel</x:v>
      </x:c>
      <x:c r="P4" s="19" t="str">
        <x:v>SENCO</x:v>
      </x:c>
      <x:c r="Q4" s="26" t="n">
        <x:v>45672</x:v>
      </x:c>
      <x:c r="R4" s="26" t="n">
        <x:v>46185</x:v>
      </x:c>
      <x:c r="S4" s="26" t="n">
        <x:v>46162</x:v>
      </x:c>
      <x:c r="T4" s="26" t="str">
        <x:v>Upload therapy evidence and confirm provision delivery logs</x:v>
      </x:c>
      <x:c r="U4" s="28" t="n">
        <x:v>64</x:v>
      </x:c>
      <x:c r="V4" s="19" t="n">
        <x:v>3</x:v>
      </x:c>
      <x:c r="W4" s="19" t="str">
        <x:v>Band 2</x:v>
      </x:c>
      <x:c r="X4" s="19" t="n">
        <x:v>15</x:v>
      </x:c>
      <x:c r="Y4" s="30" t="n">
        <x:v>8500</x:v>
      </x:c>
      <x:c r="Z4" s="32" t="n">
        <x:v>96.1</x:v>
      </x:c>
      <x:c r="AA4" s="19" t="str">
        <x:v>Medium</x:v>
      </x:c>
      <x:c r="AB4" s="19" t="str">
        <x:v>Captured</x:v>
      </x:c>
      <x:c r="AC4" s="19" t="str">
        <x:v>Needed</x:v>
      </x:c>
      <x:c r="AD4" s="26" t="n">
        <x:v>46149</x:v>
      </x:c>
    </x:row>
    <x:row r="5" ht="15" hidden="0" customHeight="1">
      <x:c r="A5" s="19" t="str">
        <x:v>Grove House Primary School</x:v>
      </x:c>
      <x:c r="B5" s="19" t="str">
        <x:v>Arbor API</x:v>
      </x:c>
      <x:c r="C5" s="19" t="str">
        <x:v>arbor-demo-1004</x:v>
      </x:c>
      <x:c r="D5" s="19" t="str">
        <x:v>DEMO-UPN-0004</x:v>
      </x:c>
      <x:c r="E5" s="19" t="str">
        <x:v>A004</x:v>
      </x:c>
      <x:c r="F5" s="19" t="str">
        <x:v>Noah</x:v>
      </x:c>
      <x:c r="G5" s="19" t="str">
        <x:v>Thompson</x:v>
      </x:c>
      <x:c r="H5" s="19" t="str">
        <x:v>Noah T</x:v>
      </x:c>
      <x:c r="I5" s="19" t="n">
        <x:v>6</x:v>
      </x:c>
      <x:c r="J5" s="19" t="str">
        <x:v>6T</x:v>
      </x:c>
      <x:c r="K5" s="19" t="str">
        <x:v>EHCP</x:v>
      </x:c>
      <x:c r="L5" s="20" t="b">
        <x:v>1</x:v>
      </x:c>
      <x:c r="M5" s="19" t="str">
        <x:v>SEMH</x:v>
      </x:c>
      <x:c r="N5" s="19" t="str">
        <x:v>ASD</x:v>
      </x:c>
      <x:c r="O5" s="19" t="str">
        <x:v>Mr Green</x:v>
      </x:c>
      <x:c r="P5" s="19" t="str">
        <x:v>Deputy SENCO</x:v>
      </x:c>
      <x:c r="Q5" s="26" t="n">
        <x:v>45173</x:v>
      </x:c>
      <x:c r="R5" s="26" t="n">
        <x:v>46170</x:v>
      </x:c>
      <x:c r="S5" s="26" t="n">
        <x:v>46154</x:v>
      </x:c>
      <x:c r="T5" s="26" t="str">
        <x:v>Chase LA amendment response and confirm transition placement paperwork</x:v>
      </x:c>
      <x:c r="U5" s="28" t="n">
        <x:v>82</x:v>
      </x:c>
      <x:c r="V5" s="19" t="n">
        <x:v>2</x:v>
      </x:c>
      <x:c r="W5" s="19" t="str">
        <x:v>Band 4</x:v>
      </x:c>
      <x:c r="X5" s="19" t="n">
        <x:v>25</x:v>
      </x:c>
      <x:c r="Y5" s="30" t="n">
        <x:v>16000</x:v>
      </x:c>
      <x:c r="Z5" s="32" t="n">
        <x:v>88.4</x:v>
      </x:c>
      <x:c r="AA5" s="19" t="str">
        <x:v>High</x:v>
      </x:c>
      <x:c r="AB5" s="19" t="str">
        <x:v>Captured</x:v>
      </x:c>
      <x:c r="AC5" s="19" t="str">
        <x:v>Captured</x:v>
      </x:c>
      <x:c r="AD5" s="26" t="n">
        <x:v>46151</x:v>
      </x:c>
    </x:row>
    <x:row r="6" ht="15" hidden="0" customHeight="1">
      <x:c r="A6" s="19" t="str">
        <x:v>Grove House Primary School</x:v>
      </x:c>
      <x:c r="B6" s="19" t="str">
        <x:v>Arbor connected sheet</x:v>
      </x:c>
      <x:c r="C6" s="19" t="str">
        <x:v>arbor-demo-1005</x:v>
      </x:c>
      <x:c r="D6" s="19" t="str">
        <x:v>DEMO-UPN-0005</x:v>
      </x:c>
      <x:c r="E6" s="19" t="str">
        <x:v>A005</x:v>
      </x:c>
      <x:c r="F6" s="19" t="str">
        <x:v>Lily</x:v>
      </x:c>
      <x:c r="G6" s="19" t="str">
        <x:v>Patel</x:v>
      </x:c>
      <x:c r="H6" s="19" t="str">
        <x:v>Lily P</x:v>
      </x:c>
      <x:c r="I6" s="19" t="n">
        <x:v>4</x:v>
      </x:c>
      <x:c r="J6" s="19" t="str">
        <x:v>4D</x:v>
      </x:c>
      <x:c r="K6" s="19" t="str">
        <x:v>SEN Support</x:v>
      </x:c>
      <x:c r="L6" s="20" t="b">
        <x:v>0</x:v>
      </x:c>
      <x:c r="M6" s="19" t="str">
        <x:v>ASD</x:v>
      </x:c>
      <x:c r="N6" s="19" t="str"/>
      <x:c r="O6" s="19" t="str">
        <x:v>Mrs Khan</x:v>
      </x:c>
      <x:c r="P6" s="19" t="str">
        <x:v>SENCO</x:v>
      </x:c>
      <x:c r="Q6" s="26"/>
      <x:c r="R6" s="26" t="n">
        <x:v>46290</x:v>
      </x:c>
      <x:c r="S6" s="26" t="n">
        <x:v>46171</x:v>
      </x:c>
      <x:c r="T6" s="26" t="str">
        <x:v>Collect teacher evidence and parent voice before APDR review</x:v>
      </x:c>
      <x:c r="U6" s="28" t="n">
        <x:v>52</x:v>
      </x:c>
      <x:c r="V6" s="19" t="n">
        <x:v>3</x:v>
      </x:c>
      <x:c r="W6" s="19" t="str">
        <x:v>SEN Support</x:v>
      </x:c>
      <x:c r="X6" s="19" t="n">
        <x:v>4</x:v>
      </x:c>
      <x:c r="Y6" s="30" t="n">
        <x:v>1800</x:v>
      </x:c>
      <x:c r="Z6" s="32" t="n">
        <x:v>95.5</x:v>
      </x:c>
      <x:c r="AA6" s="19" t="str">
        <x:v>Low</x:v>
      </x:c>
      <x:c r="AB6" s="19" t="str">
        <x:v>Needed</x:v>
      </x:c>
      <x:c r="AC6" s="19" t="str">
        <x:v>Needed</x:v>
      </x:c>
      <x:c r="AD6" s="26" t="n">
        <x:v>46145</x:v>
      </x:c>
    </x:row>
    <x:row r="7">
      <x:c r="Q7" s="27"/>
      <x:c r="R7" s="27"/>
      <x:c r="S7" s="27"/>
      <x:c r="T7" s="27"/>
      <x:c r="U7" s="29"/>
      <x:c r="Y7" s="31"/>
      <x:c r="Z7" s="33"/>
      <x:c r="AD7" s="27"/>
    </x:row>
    <x:row r="8">
      <x:c r="Q8" s="27"/>
      <x:c r="R8" s="27"/>
      <x:c r="S8" s="27"/>
      <x:c r="T8" s="27"/>
      <x:c r="U8" s="29"/>
      <x:c r="Y8" s="31"/>
      <x:c r="Z8" s="33"/>
      <x:c r="AD8" s="27"/>
    </x:row>
    <x:row r="9">
      <x:c r="Q9" s="27"/>
      <x:c r="R9" s="27"/>
      <x:c r="S9" s="27"/>
      <x:c r="T9" s="27"/>
      <x:c r="U9" s="29"/>
      <x:c r="Y9" s="31"/>
      <x:c r="Z9" s="33"/>
      <x:c r="AD9" s="27"/>
    </x:row>
    <x:row r="10">
      <x:c r="Q10" s="27"/>
      <x:c r="R10" s="27"/>
      <x:c r="S10" s="27"/>
      <x:c r="T10" s="27"/>
      <x:c r="U10" s="29"/>
      <x:c r="Y10" s="31"/>
      <x:c r="Z10" s="33"/>
      <x:c r="AD10" s="27"/>
    </x:row>
    <x:row r="11">
      <x:c r="Q11" s="27"/>
      <x:c r="R11" s="27"/>
      <x:c r="S11" s="27"/>
      <x:c r="T11" s="27"/>
      <x:c r="U11" s="29"/>
      <x:c r="Y11" s="31"/>
      <x:c r="Z11" s="33"/>
      <x:c r="AD11" s="27"/>
    </x:row>
    <x:row r="12">
      <x:c r="Q12" s="27"/>
      <x:c r="R12" s="27"/>
      <x:c r="S12" s="27"/>
      <x:c r="T12" s="27"/>
      <x:c r="U12" s="29"/>
      <x:c r="Y12" s="31"/>
      <x:c r="Z12" s="33"/>
      <x:c r="AD12" s="27"/>
    </x:row>
    <x:row r="13">
      <x:c r="Q13" s="27"/>
      <x:c r="R13" s="27"/>
      <x:c r="S13" s="27"/>
      <x:c r="T13" s="27"/>
      <x:c r="U13" s="29"/>
      <x:c r="Y13" s="31"/>
      <x:c r="Z13" s="33"/>
      <x:c r="AD13" s="27"/>
    </x:row>
    <x:row r="14">
      <x:c r="Q14" s="27"/>
      <x:c r="R14" s="27"/>
      <x:c r="S14" s="27"/>
      <x:c r="T14" s="27"/>
      <x:c r="U14" s="29"/>
      <x:c r="Y14" s="31"/>
      <x:c r="Z14" s="33"/>
      <x:c r="AD14" s="27"/>
    </x:row>
    <x:row r="15">
      <x:c r="Q15" s="27"/>
      <x:c r="R15" s="27"/>
      <x:c r="S15" s="27"/>
      <x:c r="T15" s="27"/>
      <x:c r="U15" s="29"/>
      <x:c r="Y15" s="31"/>
      <x:c r="Z15" s="33"/>
      <x:c r="AD15" s="27"/>
    </x:row>
    <x:row r="16">
      <x:c r="Q16" s="27"/>
      <x:c r="R16" s="27"/>
      <x:c r="S16" s="27"/>
      <x:c r="T16" s="27"/>
      <x:c r="U16" s="29"/>
      <x:c r="Y16" s="31"/>
      <x:c r="Z16" s="33"/>
      <x:c r="AD16" s="27"/>
    </x:row>
    <x:row r="17">
      <x:c r="Q17" s="27"/>
      <x:c r="R17" s="27"/>
      <x:c r="S17" s="27"/>
      <x:c r="T17" s="27"/>
      <x:c r="U17" s="29"/>
      <x:c r="Y17" s="31"/>
      <x:c r="Z17" s="33"/>
      <x:c r="AD17" s="27"/>
    </x:row>
    <x:row r="18">
      <x:c r="Q18" s="27"/>
      <x:c r="R18" s="27"/>
      <x:c r="S18" s="27"/>
      <x:c r="T18" s="27"/>
      <x:c r="U18" s="29"/>
      <x:c r="Y18" s="31"/>
      <x:c r="Z18" s="33"/>
      <x:c r="AD18" s="27"/>
    </x:row>
    <x:row r="19">
      <x:c r="Q19" s="27"/>
      <x:c r="R19" s="27"/>
      <x:c r="S19" s="27"/>
      <x:c r="T19" s="27"/>
      <x:c r="U19" s="29"/>
      <x:c r="Y19" s="31"/>
      <x:c r="Z19" s="33"/>
      <x:c r="AD19" s="27"/>
    </x:row>
    <x:row r="20">
      <x:c r="Q20" s="27"/>
      <x:c r="R20" s="27"/>
      <x:c r="S20" s="27"/>
      <x:c r="T20" s="27"/>
      <x:c r="U20" s="29"/>
      <x:c r="Y20" s="31"/>
      <x:c r="Z20" s="33"/>
      <x:c r="AD20" s="27"/>
    </x:row>
    <x:row r="21">
      <x:c r="Q21" s="27"/>
      <x:c r="R21" s="27"/>
      <x:c r="S21" s="27"/>
      <x:c r="T21" s="27"/>
      <x:c r="U21" s="29"/>
      <x:c r="Y21" s="31"/>
      <x:c r="Z21" s="33"/>
      <x:c r="AD21" s="27"/>
    </x:row>
    <x:row r="22">
      <x:c r="Q22" s="27"/>
      <x:c r="R22" s="27"/>
      <x:c r="S22" s="27"/>
      <x:c r="T22" s="27"/>
      <x:c r="U22" s="29"/>
      <x:c r="Y22" s="31"/>
      <x:c r="Z22" s="33"/>
      <x:c r="AD22" s="27"/>
    </x:row>
    <x:row r="23">
      <x:c r="Q23" s="27"/>
      <x:c r="R23" s="27"/>
      <x:c r="S23" s="27"/>
      <x:c r="T23" s="27"/>
      <x:c r="U23" s="29"/>
      <x:c r="Y23" s="31"/>
      <x:c r="Z23" s="33"/>
      <x:c r="AD23" s="27"/>
    </x:row>
    <x:row r="24">
      <x:c r="Q24" s="27"/>
      <x:c r="R24" s="27"/>
      <x:c r="S24" s="27"/>
      <x:c r="T24" s="27"/>
      <x:c r="U24" s="29"/>
      <x:c r="Y24" s="31"/>
      <x:c r="Z24" s="33"/>
      <x:c r="AD24" s="27"/>
    </x:row>
    <x:row r="25">
      <x:c r="Q25" s="27"/>
      <x:c r="R25" s="27"/>
      <x:c r="S25" s="27"/>
      <x:c r="T25" s="27"/>
      <x:c r="U25" s="29"/>
      <x:c r="Y25" s="31"/>
      <x:c r="Z25" s="33"/>
      <x:c r="AD25" s="27"/>
    </x:row>
    <x:row r="26">
      <x:c r="Q26" s="27"/>
      <x:c r="R26" s="27"/>
      <x:c r="S26" s="27"/>
      <x:c r="T26" s="27"/>
      <x:c r="U26" s="29"/>
      <x:c r="Y26" s="31"/>
      <x:c r="Z26" s="33"/>
      <x:c r="AD26" s="27"/>
    </x:row>
    <x:row r="27">
      <x:c r="Q27" s="27"/>
      <x:c r="R27" s="27"/>
      <x:c r="S27" s="27"/>
      <x:c r="T27" s="27"/>
      <x:c r="U27" s="29"/>
      <x:c r="Y27" s="31"/>
      <x:c r="Z27" s="33"/>
      <x:c r="AD27" s="27"/>
    </x:row>
    <x:row r="28">
      <x:c r="Q28" s="27"/>
      <x:c r="R28" s="27"/>
      <x:c r="S28" s="27"/>
      <x:c r="T28" s="27"/>
      <x:c r="U28" s="29"/>
      <x:c r="Y28" s="31"/>
      <x:c r="Z28" s="33"/>
      <x:c r="AD28" s="27"/>
    </x:row>
    <x:row r="29">
      <x:c r="Q29" s="27"/>
      <x:c r="R29" s="27"/>
      <x:c r="S29" s="27"/>
      <x:c r="T29" s="27"/>
      <x:c r="U29" s="29"/>
      <x:c r="Y29" s="31"/>
      <x:c r="Z29" s="33"/>
      <x:c r="AD29" s="27"/>
    </x:row>
    <x:row r="30">
      <x:c r="Q30" s="27"/>
      <x:c r="R30" s="27"/>
      <x:c r="S30" s="27"/>
      <x:c r="T30" s="27"/>
      <x:c r="U30" s="29"/>
      <x:c r="Y30" s="31"/>
      <x:c r="Z30" s="33"/>
      <x:c r="AD30" s="27"/>
    </x:row>
    <x:row r="31">
      <x:c r="Q31" s="27"/>
      <x:c r="R31" s="27"/>
      <x:c r="S31" s="27"/>
      <x:c r="T31" s="27"/>
      <x:c r="U31" s="29"/>
      <x:c r="Y31" s="31"/>
      <x:c r="Z31" s="33"/>
      <x:c r="AD31" s="27"/>
    </x:row>
    <x:row r="32">
      <x:c r="Q32" s="27"/>
      <x:c r="R32" s="27"/>
      <x:c r="S32" s="27"/>
      <x:c r="T32" s="27"/>
      <x:c r="U32" s="29"/>
      <x:c r="Y32" s="31"/>
      <x:c r="Z32" s="33"/>
      <x:c r="AD32" s="27"/>
    </x:row>
    <x:row r="33">
      <x:c r="Q33" s="27"/>
      <x:c r="R33" s="27"/>
      <x:c r="S33" s="27"/>
      <x:c r="T33" s="27"/>
      <x:c r="U33" s="29"/>
      <x:c r="Y33" s="31"/>
      <x:c r="Z33" s="33"/>
      <x:c r="AD33" s="27"/>
    </x:row>
    <x:row r="34">
      <x:c r="Q34" s="27"/>
      <x:c r="R34" s="27"/>
      <x:c r="S34" s="27"/>
      <x:c r="T34" s="27"/>
      <x:c r="U34" s="29"/>
      <x:c r="Y34" s="31"/>
      <x:c r="Z34" s="33"/>
      <x:c r="AD34" s="27"/>
    </x:row>
    <x:row r="35">
      <x:c r="Q35" s="27"/>
      <x:c r="R35" s="27"/>
      <x:c r="S35" s="27"/>
      <x:c r="T35" s="27"/>
      <x:c r="U35" s="29"/>
      <x:c r="Y35" s="31"/>
      <x:c r="Z35" s="33"/>
      <x:c r="AD35" s="27"/>
    </x:row>
    <x:row r="36">
      <x:c r="Q36" s="27"/>
      <x:c r="R36" s="27"/>
      <x:c r="S36" s="27"/>
      <x:c r="T36" s="27"/>
      <x:c r="U36" s="29"/>
      <x:c r="Y36" s="31"/>
      <x:c r="Z36" s="33"/>
      <x:c r="AD36" s="27"/>
    </x:row>
    <x:row r="37">
      <x:c r="Q37" s="27"/>
      <x:c r="R37" s="27"/>
      <x:c r="S37" s="27"/>
      <x:c r="T37" s="27"/>
      <x:c r="U37" s="29"/>
      <x:c r="Y37" s="31"/>
      <x:c r="Z37" s="33"/>
      <x:c r="AD37" s="27"/>
    </x:row>
    <x:row r="38">
      <x:c r="Q38" s="27"/>
      <x:c r="R38" s="27"/>
      <x:c r="S38" s="27"/>
      <x:c r="T38" s="27"/>
      <x:c r="U38" s="29"/>
      <x:c r="Y38" s="31"/>
      <x:c r="Z38" s="33"/>
      <x:c r="AD38" s="27"/>
    </x:row>
    <x:row r="39">
      <x:c r="Q39" s="27"/>
      <x:c r="R39" s="27"/>
      <x:c r="S39" s="27"/>
      <x:c r="T39" s="27"/>
      <x:c r="U39" s="29"/>
      <x:c r="Y39" s="31"/>
      <x:c r="Z39" s="33"/>
      <x:c r="AD39" s="27"/>
    </x:row>
    <x:row r="40">
      <x:c r="Q40" s="27"/>
      <x:c r="R40" s="27"/>
      <x:c r="S40" s="27"/>
      <x:c r="T40" s="27"/>
      <x:c r="U40" s="29"/>
      <x:c r="Y40" s="31"/>
      <x:c r="Z40" s="33"/>
      <x:c r="AD40" s="27"/>
    </x:row>
    <x:row r="41">
      <x:c r="Q41" s="27"/>
      <x:c r="R41" s="27"/>
      <x:c r="S41" s="27"/>
      <x:c r="T41" s="27"/>
      <x:c r="U41" s="29"/>
      <x:c r="Y41" s="31"/>
      <x:c r="Z41" s="33"/>
      <x:c r="AD41" s="27"/>
    </x:row>
    <x:row r="42">
      <x:c r="Q42" s="27"/>
      <x:c r="R42" s="27"/>
      <x:c r="S42" s="27"/>
      <x:c r="T42" s="27"/>
      <x:c r="U42" s="29"/>
      <x:c r="Y42" s="31"/>
      <x:c r="Z42" s="33"/>
      <x:c r="AD42" s="27"/>
    </x:row>
    <x:row r="43">
      <x:c r="Q43" s="27"/>
      <x:c r="R43" s="27"/>
      <x:c r="S43" s="27"/>
      <x:c r="T43" s="27"/>
      <x:c r="U43" s="29"/>
      <x:c r="Y43" s="31"/>
      <x:c r="Z43" s="33"/>
      <x:c r="AD43" s="27"/>
    </x:row>
    <x:row r="44">
      <x:c r="Q44" s="27"/>
      <x:c r="R44" s="27"/>
      <x:c r="S44" s="27"/>
      <x:c r="T44" s="27"/>
      <x:c r="U44" s="29"/>
      <x:c r="Y44" s="31"/>
      <x:c r="Z44" s="33"/>
      <x:c r="AD44" s="27"/>
    </x:row>
    <x:row r="45">
      <x:c r="Q45" s="27"/>
      <x:c r="R45" s="27"/>
      <x:c r="S45" s="27"/>
      <x:c r="T45" s="27"/>
      <x:c r="U45" s="29"/>
      <x:c r="Y45" s="31"/>
      <x:c r="Z45" s="33"/>
      <x:c r="AD45" s="27"/>
    </x:row>
    <x:row r="46">
      <x:c r="Q46" s="27"/>
      <x:c r="R46" s="27"/>
      <x:c r="S46" s="27"/>
      <x:c r="T46" s="27"/>
      <x:c r="U46" s="29"/>
      <x:c r="Y46" s="31"/>
      <x:c r="Z46" s="33"/>
      <x:c r="AD46" s="27"/>
    </x:row>
    <x:row r="47">
      <x:c r="Q47" s="27"/>
      <x:c r="R47" s="27"/>
      <x:c r="S47" s="27"/>
      <x:c r="T47" s="27"/>
      <x:c r="U47" s="29"/>
      <x:c r="Y47" s="31"/>
      <x:c r="Z47" s="33"/>
      <x:c r="AD47" s="27"/>
    </x:row>
    <x:row r="48">
      <x:c r="Q48" s="27"/>
      <x:c r="R48" s="27"/>
      <x:c r="S48" s="27"/>
      <x:c r="T48" s="27"/>
      <x:c r="U48" s="29"/>
      <x:c r="Y48" s="31"/>
      <x:c r="Z48" s="33"/>
      <x:c r="AD48" s="27"/>
    </x:row>
    <x:row r="49">
      <x:c r="Q49" s="27"/>
      <x:c r="R49" s="27"/>
      <x:c r="S49" s="27"/>
      <x:c r="T49" s="27"/>
      <x:c r="U49" s="29"/>
      <x:c r="Y49" s="31"/>
      <x:c r="Z49" s="33"/>
      <x:c r="AD49" s="27"/>
    </x:row>
    <x:row r="50">
      <x:c r="Q50" s="27"/>
      <x:c r="R50" s="27"/>
      <x:c r="S50" s="27"/>
      <x:c r="T50" s="27"/>
      <x:c r="U50" s="29"/>
      <x:c r="Y50" s="31"/>
      <x:c r="Z50" s="33"/>
      <x:c r="AD50" s="27"/>
    </x:row>
    <x:row r="51">
      <x:c r="Q51" s="27"/>
      <x:c r="R51" s="27"/>
      <x:c r="S51" s="27"/>
      <x:c r="T51" s="27"/>
      <x:c r="U51" s="29"/>
      <x:c r="Y51" s="31"/>
      <x:c r="Z51" s="33"/>
      <x:c r="AD51" s="27"/>
    </x:row>
    <x:row r="52">
      <x:c r="Q52" s="27"/>
      <x:c r="R52" s="27"/>
      <x:c r="S52" s="27"/>
      <x:c r="T52" s="27"/>
      <x:c r="U52" s="29"/>
      <x:c r="Y52" s="31"/>
      <x:c r="Z52" s="33"/>
      <x:c r="AD52" s="27"/>
    </x:row>
    <x:row r="53">
      <x:c r="Q53" s="27"/>
      <x:c r="R53" s="27"/>
      <x:c r="S53" s="27"/>
      <x:c r="T53" s="27"/>
      <x:c r="U53" s="29"/>
      <x:c r="Y53" s="31"/>
      <x:c r="Z53" s="33"/>
      <x:c r="AD53" s="27"/>
    </x:row>
    <x:row r="54">
      <x:c r="Q54" s="27"/>
      <x:c r="R54" s="27"/>
      <x:c r="S54" s="27"/>
      <x:c r="T54" s="27"/>
      <x:c r="U54" s="29"/>
      <x:c r="Y54" s="31"/>
      <x:c r="Z54" s="33"/>
      <x:c r="AD54" s="27"/>
    </x:row>
    <x:row r="55">
      <x:c r="Q55" s="27"/>
      <x:c r="R55" s="27"/>
      <x:c r="S55" s="27"/>
      <x:c r="T55" s="27"/>
      <x:c r="U55" s="29"/>
      <x:c r="Y55" s="31"/>
      <x:c r="Z55" s="33"/>
      <x:c r="AD55" s="27"/>
    </x:row>
    <x:row r="56">
      <x:c r="Q56" s="27"/>
      <x:c r="R56" s="27"/>
      <x:c r="S56" s="27"/>
      <x:c r="T56" s="27"/>
      <x:c r="U56" s="29"/>
      <x:c r="Y56" s="31"/>
      <x:c r="Z56" s="33"/>
      <x:c r="AD56" s="27"/>
    </x:row>
    <x:row r="57">
      <x:c r="Q57" s="27"/>
      <x:c r="R57" s="27"/>
      <x:c r="S57" s="27"/>
      <x:c r="T57" s="27"/>
      <x:c r="U57" s="29"/>
      <x:c r="Y57" s="31"/>
      <x:c r="Z57" s="33"/>
      <x:c r="AD57" s="27"/>
    </x:row>
    <x:row r="58">
      <x:c r="Q58" s="27"/>
      <x:c r="R58" s="27"/>
      <x:c r="S58" s="27"/>
      <x:c r="T58" s="27"/>
      <x:c r="U58" s="29"/>
      <x:c r="Y58" s="31"/>
      <x:c r="Z58" s="33"/>
      <x:c r="AD58" s="27"/>
    </x:row>
    <x:row r="59">
      <x:c r="Q59" s="27"/>
      <x:c r="R59" s="27"/>
      <x:c r="S59" s="27"/>
      <x:c r="T59" s="27"/>
      <x:c r="U59" s="29"/>
      <x:c r="Y59" s="31"/>
      <x:c r="Z59" s="33"/>
      <x:c r="AD59" s="27"/>
    </x:row>
    <x:row r="60">
      <x:c r="Q60" s="27"/>
      <x:c r="R60" s="27"/>
      <x:c r="S60" s="27"/>
      <x:c r="T60" s="27"/>
      <x:c r="U60" s="29"/>
      <x:c r="Y60" s="31"/>
      <x:c r="Z60" s="33"/>
      <x:c r="AD60" s="27"/>
    </x:row>
    <x:row r="61">
      <x:c r="Q61" s="27"/>
      <x:c r="R61" s="27"/>
      <x:c r="S61" s="27"/>
      <x:c r="T61" s="27"/>
      <x:c r="U61" s="29"/>
      <x:c r="Y61" s="31"/>
      <x:c r="Z61" s="33"/>
      <x:c r="AD61" s="27"/>
    </x:row>
    <x:row r="62">
      <x:c r="Q62" s="27"/>
      <x:c r="R62" s="27"/>
      <x:c r="S62" s="27"/>
      <x:c r="T62" s="27"/>
      <x:c r="U62" s="29"/>
      <x:c r="Y62" s="31"/>
      <x:c r="Z62" s="33"/>
      <x:c r="AD62" s="27"/>
    </x:row>
    <x:row r="63">
      <x:c r="Q63" s="27"/>
      <x:c r="R63" s="27"/>
      <x:c r="S63" s="27"/>
      <x:c r="T63" s="27"/>
      <x:c r="U63" s="29"/>
      <x:c r="Y63" s="31"/>
      <x:c r="Z63" s="33"/>
      <x:c r="AD63" s="27"/>
    </x:row>
    <x:row r="64">
      <x:c r="Q64" s="27"/>
      <x:c r="R64" s="27"/>
      <x:c r="S64" s="27"/>
      <x:c r="T64" s="27"/>
      <x:c r="U64" s="29"/>
      <x:c r="Y64" s="31"/>
      <x:c r="Z64" s="33"/>
      <x:c r="AD64" s="27"/>
    </x:row>
    <x:row r="65">
      <x:c r="Q65" s="27"/>
      <x:c r="R65" s="27"/>
      <x:c r="S65" s="27"/>
      <x:c r="T65" s="27"/>
      <x:c r="U65" s="29"/>
      <x:c r="Y65" s="31"/>
      <x:c r="Z65" s="33"/>
      <x:c r="AD65" s="27"/>
    </x:row>
    <x:row r="66">
      <x:c r="Q66" s="27"/>
      <x:c r="R66" s="27"/>
      <x:c r="S66" s="27"/>
      <x:c r="T66" s="27"/>
      <x:c r="U66" s="29"/>
      <x:c r="Y66" s="31"/>
      <x:c r="Z66" s="33"/>
      <x:c r="AD66" s="27"/>
    </x:row>
    <x:row r="67">
      <x:c r="Q67" s="27"/>
      <x:c r="R67" s="27"/>
      <x:c r="S67" s="27"/>
      <x:c r="T67" s="27"/>
      <x:c r="U67" s="29"/>
      <x:c r="Y67" s="31"/>
      <x:c r="Z67" s="33"/>
      <x:c r="AD67" s="27"/>
    </x:row>
    <x:row r="68">
      <x:c r="Q68" s="27"/>
      <x:c r="R68" s="27"/>
      <x:c r="S68" s="27"/>
      <x:c r="T68" s="27"/>
      <x:c r="U68" s="29"/>
      <x:c r="Y68" s="31"/>
      <x:c r="Z68" s="33"/>
      <x:c r="AD68" s="27"/>
    </x:row>
    <x:row r="69">
      <x:c r="Q69" s="27"/>
      <x:c r="R69" s="27"/>
      <x:c r="S69" s="27"/>
      <x:c r="T69" s="27"/>
      <x:c r="U69" s="29"/>
      <x:c r="Y69" s="31"/>
      <x:c r="Z69" s="33"/>
      <x:c r="AD69" s="27"/>
    </x:row>
    <x:row r="70">
      <x:c r="Q70" s="27"/>
      <x:c r="R70" s="27"/>
      <x:c r="S70" s="27"/>
      <x:c r="T70" s="27"/>
      <x:c r="U70" s="29"/>
      <x:c r="Y70" s="31"/>
      <x:c r="Z70" s="33"/>
      <x:c r="AD70" s="27"/>
    </x:row>
    <x:row r="71">
      <x:c r="Q71" s="27"/>
      <x:c r="R71" s="27"/>
      <x:c r="S71" s="27"/>
      <x:c r="T71" s="27"/>
      <x:c r="U71" s="29"/>
      <x:c r="Y71" s="31"/>
      <x:c r="Z71" s="33"/>
      <x:c r="AD71" s="27"/>
    </x:row>
    <x:row r="72">
      <x:c r="Q72" s="27"/>
      <x:c r="R72" s="27"/>
      <x:c r="S72" s="27"/>
      <x:c r="T72" s="27"/>
      <x:c r="U72" s="29"/>
      <x:c r="Y72" s="31"/>
      <x:c r="Z72" s="33"/>
      <x:c r="AD72" s="27"/>
    </x:row>
    <x:row r="73">
      <x:c r="Q73" s="27"/>
      <x:c r="R73" s="27"/>
      <x:c r="S73" s="27"/>
      <x:c r="T73" s="27"/>
      <x:c r="U73" s="29"/>
      <x:c r="Y73" s="31"/>
      <x:c r="Z73" s="33"/>
      <x:c r="AD73" s="27"/>
    </x:row>
    <x:row r="74">
      <x:c r="Q74" s="27"/>
      <x:c r="R74" s="27"/>
      <x:c r="S74" s="27"/>
      <x:c r="T74" s="27"/>
      <x:c r="U74" s="29"/>
      <x:c r="Y74" s="31"/>
      <x:c r="Z74" s="33"/>
      <x:c r="AD74" s="27"/>
    </x:row>
    <x:row r="75">
      <x:c r="Q75" s="27"/>
      <x:c r="R75" s="27"/>
      <x:c r="S75" s="27"/>
      <x:c r="T75" s="27"/>
      <x:c r="U75" s="29"/>
      <x:c r="Y75" s="31"/>
      <x:c r="Z75" s="33"/>
      <x:c r="AD75" s="27"/>
    </x:row>
    <x:row r="76">
      <x:c r="Q76" s="27"/>
      <x:c r="R76" s="27"/>
      <x:c r="S76" s="27"/>
      <x:c r="T76" s="27"/>
      <x:c r="U76" s="29"/>
      <x:c r="Y76" s="31"/>
      <x:c r="Z76" s="33"/>
      <x:c r="AD76" s="27"/>
    </x:row>
    <x:row r="77">
      <x:c r="Q77" s="27"/>
      <x:c r="R77" s="27"/>
      <x:c r="S77" s="27"/>
      <x:c r="T77" s="27"/>
      <x:c r="U77" s="29"/>
      <x:c r="Y77" s="31"/>
      <x:c r="Z77" s="33"/>
      <x:c r="AD77" s="27"/>
    </x:row>
    <x:row r="78">
      <x:c r="Q78" s="27"/>
      <x:c r="R78" s="27"/>
      <x:c r="S78" s="27"/>
      <x:c r="T78" s="27"/>
      <x:c r="U78" s="29"/>
      <x:c r="Y78" s="31"/>
      <x:c r="Z78" s="33"/>
      <x:c r="AD78" s="27"/>
    </x:row>
    <x:row r="79">
      <x:c r="Q79" s="27"/>
      <x:c r="R79" s="27"/>
      <x:c r="S79" s="27"/>
      <x:c r="T79" s="27"/>
      <x:c r="U79" s="29"/>
      <x:c r="Y79" s="31"/>
      <x:c r="Z79" s="33"/>
      <x:c r="AD79" s="27"/>
    </x:row>
    <x:row r="80">
      <x:c r="Q80" s="27"/>
      <x:c r="R80" s="27"/>
      <x:c r="S80" s="27"/>
      <x:c r="T80" s="27"/>
      <x:c r="U80" s="29"/>
      <x:c r="Y80" s="31"/>
      <x:c r="Z80" s="33"/>
      <x:c r="AD80" s="27"/>
    </x:row>
    <x:row r="81">
      <x:c r="Q81" s="27"/>
      <x:c r="R81" s="27"/>
      <x:c r="S81" s="27"/>
      <x:c r="T81" s="27"/>
      <x:c r="U81" s="29"/>
      <x:c r="Y81" s="31"/>
      <x:c r="Z81" s="33"/>
      <x:c r="AD81" s="27"/>
    </x:row>
    <x:row r="82">
      <x:c r="Q82" s="27"/>
      <x:c r="R82" s="27"/>
      <x:c r="S82" s="27"/>
      <x:c r="T82" s="27"/>
      <x:c r="U82" s="29"/>
      <x:c r="Y82" s="31"/>
      <x:c r="Z82" s="33"/>
      <x:c r="AD82" s="27"/>
    </x:row>
    <x:row r="83">
      <x:c r="Q83" s="27"/>
      <x:c r="R83" s="27"/>
      <x:c r="S83" s="27"/>
      <x:c r="T83" s="27"/>
      <x:c r="U83" s="29"/>
      <x:c r="Y83" s="31"/>
      <x:c r="Z83" s="33"/>
      <x:c r="AD83" s="27"/>
    </x:row>
    <x:row r="84">
      <x:c r="Q84" s="27"/>
      <x:c r="R84" s="27"/>
      <x:c r="S84" s="27"/>
      <x:c r="T84" s="27"/>
      <x:c r="U84" s="29"/>
      <x:c r="Y84" s="31"/>
      <x:c r="Z84" s="33"/>
      <x:c r="AD84" s="27"/>
    </x:row>
    <x:row r="85">
      <x:c r="Q85" s="27"/>
      <x:c r="R85" s="27"/>
      <x:c r="S85" s="27"/>
      <x:c r="T85" s="27"/>
      <x:c r="U85" s="29"/>
      <x:c r="Y85" s="31"/>
      <x:c r="Z85" s="33"/>
      <x:c r="AD85" s="27"/>
    </x:row>
    <x:row r="86">
      <x:c r="Q86" s="27"/>
      <x:c r="R86" s="27"/>
      <x:c r="S86" s="27"/>
      <x:c r="T86" s="27"/>
      <x:c r="U86" s="29"/>
      <x:c r="Y86" s="31"/>
      <x:c r="Z86" s="33"/>
      <x:c r="AD86" s="27"/>
    </x:row>
    <x:row r="87">
      <x:c r="Q87" s="27"/>
      <x:c r="R87" s="27"/>
      <x:c r="S87" s="27"/>
      <x:c r="T87" s="27"/>
      <x:c r="U87" s="29"/>
      <x:c r="Y87" s="31"/>
      <x:c r="Z87" s="33"/>
      <x:c r="AD87" s="27"/>
    </x:row>
    <x:row r="88">
      <x:c r="Q88" s="27"/>
      <x:c r="R88" s="27"/>
      <x:c r="S88" s="27"/>
      <x:c r="T88" s="27"/>
      <x:c r="U88" s="29"/>
      <x:c r="Y88" s="31"/>
      <x:c r="Z88" s="33"/>
      <x:c r="AD88" s="27"/>
    </x:row>
    <x:row r="89">
      <x:c r="Q89" s="27"/>
      <x:c r="R89" s="27"/>
      <x:c r="S89" s="27"/>
      <x:c r="T89" s="27"/>
      <x:c r="U89" s="29"/>
      <x:c r="Y89" s="31"/>
      <x:c r="Z89" s="33"/>
      <x:c r="AD89" s="27"/>
    </x:row>
    <x:row r="90">
      <x:c r="Q90" s="27"/>
      <x:c r="R90" s="27"/>
      <x:c r="S90" s="27"/>
      <x:c r="T90" s="27"/>
      <x:c r="U90" s="29"/>
      <x:c r="Y90" s="31"/>
      <x:c r="Z90" s="33"/>
      <x:c r="AD90" s="27"/>
    </x:row>
    <x:row r="91">
      <x:c r="Q91" s="27"/>
      <x:c r="R91" s="27"/>
      <x:c r="S91" s="27"/>
      <x:c r="T91" s="27"/>
      <x:c r="U91" s="29"/>
      <x:c r="Y91" s="31"/>
      <x:c r="Z91" s="33"/>
      <x:c r="AD91" s="27"/>
    </x:row>
    <x:row r="92">
      <x:c r="Q92" s="27"/>
      <x:c r="R92" s="27"/>
      <x:c r="S92" s="27"/>
      <x:c r="T92" s="27"/>
      <x:c r="U92" s="29"/>
      <x:c r="Y92" s="31"/>
      <x:c r="Z92" s="33"/>
      <x:c r="AD92" s="27"/>
    </x:row>
    <x:row r="93">
      <x:c r="Q93" s="27"/>
      <x:c r="R93" s="27"/>
      <x:c r="S93" s="27"/>
      <x:c r="T93" s="27"/>
      <x:c r="U93" s="29"/>
      <x:c r="Y93" s="31"/>
      <x:c r="Z93" s="33"/>
      <x:c r="AD93" s="27"/>
    </x:row>
    <x:row r="94">
      <x:c r="Q94" s="27"/>
      <x:c r="R94" s="27"/>
      <x:c r="S94" s="27"/>
      <x:c r="T94" s="27"/>
      <x:c r="U94" s="29"/>
      <x:c r="Y94" s="31"/>
      <x:c r="Z94" s="33"/>
      <x:c r="AD94" s="27"/>
    </x:row>
    <x:row r="95">
      <x:c r="Q95" s="27"/>
      <x:c r="R95" s="27"/>
      <x:c r="S95" s="27"/>
      <x:c r="T95" s="27"/>
      <x:c r="U95" s="29"/>
      <x:c r="Y95" s="31"/>
      <x:c r="Z95" s="33"/>
      <x:c r="AD95" s="27"/>
    </x:row>
    <x:row r="96">
      <x:c r="Q96" s="27"/>
      <x:c r="R96" s="27"/>
      <x:c r="S96" s="27"/>
      <x:c r="T96" s="27"/>
      <x:c r="U96" s="29"/>
      <x:c r="Y96" s="31"/>
      <x:c r="Z96" s="33"/>
      <x:c r="AD96" s="27"/>
    </x:row>
    <x:row r="97">
      <x:c r="Q97" s="27"/>
      <x:c r="R97" s="27"/>
      <x:c r="S97" s="27"/>
      <x:c r="T97" s="27"/>
      <x:c r="U97" s="29"/>
      <x:c r="Y97" s="31"/>
      <x:c r="Z97" s="33"/>
      <x:c r="AD97" s="27"/>
    </x:row>
    <x:row r="98">
      <x:c r="Q98" s="27"/>
      <x:c r="R98" s="27"/>
      <x:c r="S98" s="27"/>
      <x:c r="T98" s="27"/>
      <x:c r="U98" s="29"/>
      <x:c r="Y98" s="31"/>
      <x:c r="Z98" s="33"/>
      <x:c r="AD98" s="27"/>
    </x:row>
    <x:row r="99">
      <x:c r="Q99" s="27"/>
      <x:c r="R99" s="27"/>
      <x:c r="S99" s="27"/>
      <x:c r="T99" s="27"/>
      <x:c r="U99" s="29"/>
      <x:c r="Y99" s="31"/>
      <x:c r="Z99" s="33"/>
      <x:c r="AD99" s="27"/>
    </x:row>
    <x:row r="100">
      <x:c r="Q100" s="27"/>
      <x:c r="R100" s="27"/>
      <x:c r="S100" s="27"/>
      <x:c r="T100" s="27"/>
      <x:c r="U100" s="29"/>
      <x:c r="Y100" s="31"/>
      <x:c r="Z100" s="33"/>
      <x:c r="AD100" s="27"/>
    </x:row>
  </x:sheetData>
  <x:dataValidations count="2">
    <x:dataValidation type="list" allowBlank="0" showDropDown="0" sqref="B2:B100">
      <x:formula1>"Arbor API,Arbor connected sheet,CSV upload"</x:formula1>
    </x:dataValidation>
    <x:dataValidation type="list" allowBlank="0" showDropDown="0" sqref="K2:K100">
      <x:formula1>"EHCP,SEN Support,Monitoring,Exited"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789999961853027" hidden="0" customWidth="1"/>
    <x:col min="2" max="2" width="9.6899995803833" hidden="0" customWidth="1"/>
    <x:col min="3" max="3" width="9.149999618530273" hidden="0" customWidth="1"/>
    <x:col min="4" max="4" width="15.210000038146973" hidden="0" customWidth="1"/>
    <x:col min="5" max="5" width="37.81999969482422" hidden="0" customWidth="1"/>
    <x:col min="6" max="6" width="15.069999694824219" hidden="0" customWidth="1"/>
    <x:col min="7" max="7" width="12.380000114440918" hidden="0" customWidth="1"/>
    <x:col min="8" max="8" width="7.670000076293945" hidden="0" customWidth="1"/>
    <x:col min="9" max="9" width="9.149999618530273" hidden="0" customWidth="1"/>
    <x:col min="10" max="10" width="17.360000610351562" hidden="0" customWidth="1"/>
    <x:col min="11" max="11" width="11.569999694824219" hidden="0" customWidth="1"/>
    <x:col min="12" max="12" width="11.039999961853027" hidden="0" customWidth="1"/>
  </x:cols>
  <x:sheetData>
    <x:row r="1" ht="15" hidden="0" customHeight="1">
      <x:c r="A1" s="25" t="str">
        <x:v>source_record_id</x:v>
      </x:c>
      <x:c r="B1" s="25" t="str">
        <x:v>ehcp_section</x:v>
      </x:c>
      <x:c r="C1" s="25" t="str">
        <x:v>provision_id</x:v>
      </x:c>
      <x:c r="D1" s="25" t="str">
        <x:v>need_area</x:v>
      </x:c>
      <x:c r="E1" s="25" t="str">
        <x:v>provision</x:v>
      </x:c>
      <x:c r="F1" s="25" t="str">
        <x:v>frequency</x:v>
      </x:c>
      <x:c r="G1" s="25" t="str">
        <x:v>owner</x:v>
      </x:c>
      <x:c r="H1" s="25" t="str">
        <x:v>start_date</x:v>
      </x:c>
      <x:c r="I1" s="25" t="str">
        <x:v>review_date</x:v>
      </x:c>
      <x:c r="J1" s="25" t="str">
        <x:v>evidence_required</x:v>
      </x:c>
      <x:c r="K1" s="25" t="str">
        <x:v>status</x:v>
      </x:c>
      <x:c r="L1" s="25" t="str">
        <x:v>last_evidenced</x:v>
      </x:c>
    </x:row>
    <x:row r="2" ht="15" hidden="0" customHeight="1">
      <x:c r="A2" s="19" t="str">
        <x:v>arbor-demo-1001</x:v>
      </x:c>
      <x:c r="B2" s="19" t="str">
        <x:v>Section F</x:v>
      </x:c>
      <x:c r="C2" s="19" t="str">
        <x:v>F-001</x:v>
      </x:c>
      <x:c r="D2" s="19" t="str">
        <x:v>Communication</x:v>
      </x:c>
      <x:c r="E2" s="19" t="str">
        <x:v>Daily visual timetable and first/then board</x:v>
      </x:c>
      <x:c r="F2" s="19" t="str">
        <x:v>Daily</x:v>
      </x:c>
      <x:c r="G2" s="19" t="str">
        <x:v>Class teacher</x:v>
      </x:c>
      <x:c r="H2" s="26" t="n">
        <x:v>45904</x:v>
      </x:c>
      <x:c r="I2" s="26" t="n">
        <x:v>46163</x:v>
      </x:c>
      <x:c r="J2" s="19" t="str">
        <x:v>Photo/log sample</x:v>
      </x:c>
      <x:c r="K2" s="19" t="str">
        <x:v>In place</x:v>
      </x:c>
      <x:c r="L2" s="26" t="n">
        <x:v>46149</x:v>
      </x:c>
    </x:row>
    <x:row r="3" ht="15" hidden="0" customHeight="1">
      <x:c r="A3" s="19" t="str">
        <x:v>arbor-demo-1001</x:v>
      </x:c>
      <x:c r="B3" s="19" t="str">
        <x:v>Section F</x:v>
      </x:c>
      <x:c r="C3" s="19" t="str">
        <x:v>F-002</x:v>
      </x:c>
      <x:c r="D3" s="19" t="str">
        <x:v>Communication</x:v>
      </x:c>
      <x:c r="E3" s="19" t="str">
        <x:v>SALT programme delivered by trained TA</x:v>
      </x:c>
      <x:c r="F3" s="19" t="str">
        <x:v>3 x weekly</x:v>
      </x:c>
      <x:c r="G3" s="19" t="str">
        <x:v>SEN TA</x:v>
      </x:c>
      <x:c r="H3" s="26" t="n">
        <x:v>45904</x:v>
      </x:c>
      <x:c r="I3" s="26" t="n">
        <x:v>46163</x:v>
      </x:c>
      <x:c r="J3" s="19" t="str">
        <x:v>SALT delivery log</x:v>
      </x:c>
      <x:c r="K3" s="19" t="str">
        <x:v>Partial evidence</x:v>
      </x:c>
      <x:c r="L3" s="26" t="n">
        <x:v>46136</x:v>
      </x:c>
    </x:row>
    <x:row r="4" ht="15" hidden="0" customHeight="1">
      <x:c r="A4" s="19" t="str">
        <x:v>arbor-demo-1003</x:v>
      </x:c>
      <x:c r="B4" s="19" t="str">
        <x:v>Section F</x:v>
      </x:c>
      <x:c r="C4" s="19" t="str">
        <x:v>F-003</x:v>
      </x:c>
      <x:c r="D4" s="19" t="str">
        <x:v>Cognition &amp; Learning</x:v>
      </x:c>
      <x:c r="E4" s="19" t="str">
        <x:v>Precision teaching intervention</x:v>
      </x:c>
      <x:c r="F4" s="19" t="str">
        <x:v>4 x weekly</x:v>
      </x:c>
      <x:c r="G4" s="19" t="str">
        <x:v>Intervention lead</x:v>
      </x:c>
      <x:c r="H4" s="26" t="n">
        <x:v>46030</x:v>
      </x:c>
      <x:c r="I4" s="26" t="n">
        <x:v>46185</x:v>
      </x:c>
      <x:c r="J4" s="19" t="str">
        <x:v>Baseline/review scores</x:v>
      </x:c>
      <x:c r="K4" s="19" t="str">
        <x:v>In place</x:v>
      </x:c>
      <x:c r="L4" s="26" t="n">
        <x:v>46144</x:v>
      </x:c>
    </x:row>
    <x:row r="5" ht="15" hidden="0" customHeight="1">
      <x:c r="A5" s="19" t="str">
        <x:v>arbor-demo-1004</x:v>
      </x:c>
      <x:c r="B5" s="19" t="str">
        <x:v>Section F</x:v>
      </x:c>
      <x:c r="C5" s="19" t="str">
        <x:v>F-004</x:v>
      </x:c>
      <x:c r="D5" s="19" t="str">
        <x:v>SEMH</x:v>
      </x:c>
      <x:c r="E5" s="19" t="str">
        <x:v>Regulation check-in and safe space plan</x:v>
      </x:c>
      <x:c r="F5" s="19" t="str">
        <x:v>Daily</x:v>
      </x:c>
      <x:c r="G5" s="19" t="str">
        <x:v>Pastoral lead</x:v>
      </x:c>
      <x:c r="H5" s="26" t="n">
        <x:v>45904</x:v>
      </x:c>
      <x:c r="I5" s="26" t="n">
        <x:v>46170</x:v>
      </x:c>
      <x:c r="J5" s="19" t="str">
        <x:v>Pastoral chronology</x:v>
      </x:c>
      <x:c r="K5" s="19" t="str">
        <x:v>In place</x:v>
      </x:c>
      <x:c r="L5" s="26" t="n">
        <x:v>46151</x:v>
      </x:c>
    </x:row>
    <x:row r="6" ht="15" hidden="0" customHeight="1">
      <x:c r="A6" s="19" t="str">
        <x:v>arbor-demo-1004</x:v>
      </x:c>
      <x:c r="B6" s="19" t="str">
        <x:v>Section F</x:v>
      </x:c>
      <x:c r="C6" s="19" t="str">
        <x:v>F-005</x:v>
      </x:c>
      <x:c r="D6" s="19" t="str">
        <x:v>Transition</x:v>
      </x:c>
      <x:c r="E6" s="19" t="str">
        <x:v>Secondary transition visits and information passport</x:v>
      </x:c>
      <x:c r="F6" s="19" t="str">
        <x:v>Weekly until transfer</x:v>
      </x:c>
      <x:c r="G6" s="19" t="str">
        <x:v>Year 6 lead</x:v>
      </x:c>
      <x:c r="H6" s="26" t="n">
        <x:v>46134</x:v>
      </x:c>
      <x:c r="I6" s="26" t="n">
        <x:v>46170</x:v>
      </x:c>
      <x:c r="J6" s="19" t="str">
        <x:v>Visit log / passport draft</x:v>
      </x:c>
      <x:c r="K6" s="19" t="str">
        <x:v>Due</x:v>
      </x:c>
      <x:c r="L6" s="26"/>
    </x:row>
    <x:row r="7">
      <x:c r="H7" s="27"/>
      <x:c r="I7" s="27"/>
      <x:c r="L7" s="27"/>
    </x:row>
    <x:row r="8">
      <x:c r="H8" s="27"/>
      <x:c r="I8" s="27"/>
      <x:c r="L8" s="27"/>
    </x:row>
    <x:row r="9">
      <x:c r="H9" s="27"/>
      <x:c r="I9" s="27"/>
      <x:c r="L9" s="27"/>
    </x:row>
    <x:row r="10">
      <x:c r="H10" s="27"/>
      <x:c r="I10" s="27"/>
      <x:c r="L10" s="27"/>
    </x:row>
    <x:row r="11">
      <x:c r="H11" s="27"/>
      <x:c r="I11" s="27"/>
      <x:c r="L11" s="27"/>
    </x:row>
    <x:row r="12">
      <x:c r="H12" s="27"/>
      <x:c r="I12" s="27"/>
      <x:c r="L12" s="27"/>
    </x:row>
    <x:row r="13">
      <x:c r="H13" s="27"/>
      <x:c r="I13" s="27"/>
      <x:c r="L13" s="27"/>
    </x:row>
    <x:row r="14">
      <x:c r="H14" s="27"/>
      <x:c r="I14" s="27"/>
      <x:c r="L14" s="27"/>
    </x:row>
    <x:row r="15">
      <x:c r="H15" s="27"/>
      <x:c r="I15" s="27"/>
      <x:c r="L15" s="27"/>
    </x:row>
    <x:row r="16">
      <x:c r="H16" s="27"/>
      <x:c r="I16" s="27"/>
      <x:c r="L16" s="27"/>
    </x:row>
    <x:row r="17">
      <x:c r="H17" s="27"/>
      <x:c r="I17" s="27"/>
      <x:c r="L17" s="27"/>
    </x:row>
    <x:row r="18">
      <x:c r="H18" s="27"/>
      <x:c r="I18" s="27"/>
      <x:c r="L18" s="27"/>
    </x:row>
    <x:row r="19">
      <x:c r="H19" s="27"/>
      <x:c r="I19" s="27"/>
      <x:c r="L19" s="27"/>
    </x:row>
    <x:row r="20">
      <x:c r="H20" s="27"/>
      <x:c r="I20" s="27"/>
      <x:c r="L20" s="27"/>
    </x:row>
    <x:row r="21">
      <x:c r="H21" s="27"/>
      <x:c r="I21" s="27"/>
      <x:c r="L21" s="27"/>
    </x:row>
    <x:row r="22">
      <x:c r="H22" s="27"/>
      <x:c r="I22" s="27"/>
      <x:c r="L22" s="27"/>
    </x:row>
    <x:row r="23">
      <x:c r="H23" s="27"/>
      <x:c r="I23" s="27"/>
      <x:c r="L23" s="27"/>
    </x:row>
    <x:row r="24">
      <x:c r="H24" s="27"/>
      <x:c r="I24" s="27"/>
      <x:c r="L24" s="27"/>
    </x:row>
    <x:row r="25">
      <x:c r="H25" s="27"/>
      <x:c r="I25" s="27"/>
      <x:c r="L25" s="27"/>
    </x:row>
    <x:row r="26">
      <x:c r="H26" s="27"/>
      <x:c r="I26" s="27"/>
      <x:c r="L26" s="27"/>
    </x:row>
    <x:row r="27">
      <x:c r="H27" s="27"/>
      <x:c r="I27" s="27"/>
      <x:c r="L27" s="27"/>
    </x:row>
    <x:row r="28">
      <x:c r="H28" s="27"/>
      <x:c r="I28" s="27"/>
      <x:c r="L28" s="27"/>
    </x:row>
    <x:row r="29">
      <x:c r="H29" s="27"/>
      <x:c r="I29" s="27"/>
      <x:c r="L29" s="27"/>
    </x:row>
    <x:row r="30">
      <x:c r="H30" s="27"/>
      <x:c r="I30" s="27"/>
      <x:c r="L30" s="27"/>
    </x:row>
    <x:row r="31">
      <x:c r="H31" s="27"/>
      <x:c r="I31" s="27"/>
      <x:c r="L31" s="27"/>
    </x:row>
    <x:row r="32">
      <x:c r="H32" s="27"/>
      <x:c r="I32" s="27"/>
      <x:c r="L32" s="27"/>
    </x:row>
    <x:row r="33">
      <x:c r="H33" s="27"/>
      <x:c r="I33" s="27"/>
      <x:c r="L33" s="27"/>
    </x:row>
    <x:row r="34">
      <x:c r="H34" s="27"/>
      <x:c r="I34" s="27"/>
      <x:c r="L34" s="27"/>
    </x:row>
    <x:row r="35">
      <x:c r="H35" s="27"/>
      <x:c r="I35" s="27"/>
      <x:c r="L35" s="27"/>
    </x:row>
    <x:row r="36">
      <x:c r="H36" s="27"/>
      <x:c r="I36" s="27"/>
      <x:c r="L36" s="27"/>
    </x:row>
    <x:row r="37">
      <x:c r="H37" s="27"/>
      <x:c r="I37" s="27"/>
      <x:c r="L37" s="27"/>
    </x:row>
    <x:row r="38">
      <x:c r="H38" s="27"/>
      <x:c r="I38" s="27"/>
      <x:c r="L38" s="27"/>
    </x:row>
    <x:row r="39">
      <x:c r="H39" s="27"/>
      <x:c r="I39" s="27"/>
      <x:c r="L39" s="27"/>
    </x:row>
    <x:row r="40">
      <x:c r="H40" s="27"/>
      <x:c r="I40" s="27"/>
      <x:c r="L40" s="27"/>
    </x:row>
    <x:row r="41">
      <x:c r="H41" s="27"/>
      <x:c r="I41" s="27"/>
      <x:c r="L41" s="27"/>
    </x:row>
    <x:row r="42">
      <x:c r="H42" s="27"/>
      <x:c r="I42" s="27"/>
      <x:c r="L42" s="27"/>
    </x:row>
    <x:row r="43">
      <x:c r="H43" s="27"/>
      <x:c r="I43" s="27"/>
      <x:c r="L43" s="27"/>
    </x:row>
    <x:row r="44">
      <x:c r="H44" s="27"/>
      <x:c r="I44" s="27"/>
      <x:c r="L44" s="27"/>
    </x:row>
    <x:row r="45">
      <x:c r="H45" s="27"/>
      <x:c r="I45" s="27"/>
      <x:c r="L45" s="27"/>
    </x:row>
    <x:row r="46">
      <x:c r="H46" s="27"/>
      <x:c r="I46" s="27"/>
      <x:c r="L46" s="27"/>
    </x:row>
    <x:row r="47">
      <x:c r="H47" s="27"/>
      <x:c r="I47" s="27"/>
      <x:c r="L47" s="27"/>
    </x:row>
    <x:row r="48">
      <x:c r="H48" s="27"/>
      <x:c r="I48" s="27"/>
      <x:c r="L48" s="27"/>
    </x:row>
    <x:row r="49">
      <x:c r="H49" s="27"/>
      <x:c r="I49" s="27"/>
      <x:c r="L49" s="27"/>
    </x:row>
    <x:row r="50">
      <x:c r="H50" s="27"/>
      <x:c r="I50" s="27"/>
      <x:c r="L50" s="27"/>
    </x:row>
    <x:row r="51">
      <x:c r="H51" s="27"/>
      <x:c r="I51" s="27"/>
      <x:c r="L51" s="27"/>
    </x:row>
    <x:row r="52">
      <x:c r="H52" s="27"/>
      <x:c r="I52" s="27"/>
      <x:c r="L52" s="27"/>
    </x:row>
    <x:row r="53">
      <x:c r="H53" s="27"/>
      <x:c r="I53" s="27"/>
      <x:c r="L53" s="27"/>
    </x:row>
    <x:row r="54">
      <x:c r="H54" s="27"/>
      <x:c r="I54" s="27"/>
      <x:c r="L54" s="27"/>
    </x:row>
    <x:row r="55">
      <x:c r="H55" s="27"/>
      <x:c r="I55" s="27"/>
      <x:c r="L55" s="27"/>
    </x:row>
    <x:row r="56">
      <x:c r="H56" s="27"/>
      <x:c r="I56" s="27"/>
      <x:c r="L56" s="27"/>
    </x:row>
    <x:row r="57">
      <x:c r="H57" s="27"/>
      <x:c r="I57" s="27"/>
      <x:c r="L57" s="27"/>
    </x:row>
    <x:row r="58">
      <x:c r="H58" s="27"/>
      <x:c r="I58" s="27"/>
      <x:c r="L58" s="27"/>
    </x:row>
    <x:row r="59">
      <x:c r="H59" s="27"/>
      <x:c r="I59" s="27"/>
      <x:c r="L59" s="27"/>
    </x:row>
    <x:row r="60">
      <x:c r="H60" s="27"/>
      <x:c r="I60" s="27"/>
      <x:c r="L60" s="27"/>
    </x:row>
    <x:row r="61">
      <x:c r="H61" s="27"/>
      <x:c r="I61" s="27"/>
      <x:c r="L61" s="27"/>
    </x:row>
    <x:row r="62">
      <x:c r="H62" s="27"/>
      <x:c r="I62" s="27"/>
      <x:c r="L62" s="27"/>
    </x:row>
    <x:row r="63">
      <x:c r="H63" s="27"/>
      <x:c r="I63" s="27"/>
      <x:c r="L63" s="27"/>
    </x:row>
    <x:row r="64">
      <x:c r="H64" s="27"/>
      <x:c r="I64" s="27"/>
      <x:c r="L64" s="27"/>
    </x:row>
    <x:row r="65">
      <x:c r="H65" s="27"/>
      <x:c r="I65" s="27"/>
      <x:c r="L65" s="27"/>
    </x:row>
    <x:row r="66">
      <x:c r="H66" s="27"/>
      <x:c r="I66" s="27"/>
      <x:c r="L66" s="27"/>
    </x:row>
    <x:row r="67">
      <x:c r="H67" s="27"/>
      <x:c r="I67" s="27"/>
      <x:c r="L67" s="27"/>
    </x:row>
    <x:row r="68">
      <x:c r="H68" s="27"/>
      <x:c r="I68" s="27"/>
      <x:c r="L68" s="27"/>
    </x:row>
    <x:row r="69">
      <x:c r="H69" s="27"/>
      <x:c r="I69" s="27"/>
      <x:c r="L69" s="27"/>
    </x:row>
    <x:row r="70">
      <x:c r="H70" s="27"/>
      <x:c r="I70" s="27"/>
      <x:c r="L70" s="27"/>
    </x:row>
    <x:row r="71">
      <x:c r="H71" s="27"/>
      <x:c r="I71" s="27"/>
      <x:c r="L71" s="27"/>
    </x:row>
    <x:row r="72">
      <x:c r="H72" s="27"/>
      <x:c r="I72" s="27"/>
      <x:c r="L72" s="27"/>
    </x:row>
    <x:row r="73">
      <x:c r="H73" s="27"/>
      <x:c r="I73" s="27"/>
      <x:c r="L73" s="27"/>
    </x:row>
    <x:row r="74">
      <x:c r="H74" s="27"/>
      <x:c r="I74" s="27"/>
      <x:c r="L74" s="27"/>
    </x:row>
    <x:row r="75">
      <x:c r="H75" s="27"/>
      <x:c r="I75" s="27"/>
      <x:c r="L75" s="27"/>
    </x:row>
    <x:row r="76">
      <x:c r="H76" s="27"/>
      <x:c r="I76" s="27"/>
      <x:c r="L76" s="27"/>
    </x:row>
    <x:row r="77">
      <x:c r="H77" s="27"/>
      <x:c r="I77" s="27"/>
      <x:c r="L77" s="27"/>
    </x:row>
    <x:row r="78">
      <x:c r="H78" s="27"/>
      <x:c r="I78" s="27"/>
      <x:c r="L78" s="27"/>
    </x:row>
    <x:row r="79">
      <x:c r="H79" s="27"/>
      <x:c r="I79" s="27"/>
      <x:c r="L79" s="27"/>
    </x:row>
    <x:row r="80">
      <x:c r="H80" s="27"/>
      <x:c r="I80" s="27"/>
      <x:c r="L80" s="27"/>
    </x:row>
    <x:row r="81">
      <x:c r="H81" s="27"/>
      <x:c r="I81" s="27"/>
      <x:c r="L81" s="27"/>
    </x:row>
    <x:row r="82">
      <x:c r="H82" s="27"/>
      <x:c r="I82" s="27"/>
      <x:c r="L82" s="27"/>
    </x:row>
    <x:row r="83">
      <x:c r="H83" s="27"/>
      <x:c r="I83" s="27"/>
      <x:c r="L83" s="27"/>
    </x:row>
    <x:row r="84">
      <x:c r="H84" s="27"/>
      <x:c r="I84" s="27"/>
      <x:c r="L84" s="27"/>
    </x:row>
    <x:row r="85">
      <x:c r="H85" s="27"/>
      <x:c r="I85" s="27"/>
      <x:c r="L85" s="27"/>
    </x:row>
    <x:row r="86">
      <x:c r="H86" s="27"/>
      <x:c r="I86" s="27"/>
      <x:c r="L86" s="27"/>
    </x:row>
    <x:row r="87">
      <x:c r="H87" s="27"/>
      <x:c r="I87" s="27"/>
      <x:c r="L87" s="27"/>
    </x:row>
    <x:row r="88">
      <x:c r="H88" s="27"/>
      <x:c r="I88" s="27"/>
      <x:c r="L88" s="27"/>
    </x:row>
    <x:row r="89">
      <x:c r="H89" s="27"/>
      <x:c r="I89" s="27"/>
      <x:c r="L89" s="27"/>
    </x:row>
    <x:row r="90">
      <x:c r="H90" s="27"/>
      <x:c r="I90" s="27"/>
      <x:c r="L90" s="27"/>
    </x:row>
    <x:row r="91">
      <x:c r="H91" s="27"/>
      <x:c r="I91" s="27"/>
      <x:c r="L91" s="27"/>
    </x:row>
    <x:row r="92">
      <x:c r="H92" s="27"/>
      <x:c r="I92" s="27"/>
      <x:c r="L92" s="27"/>
    </x:row>
    <x:row r="93">
      <x:c r="H93" s="27"/>
      <x:c r="I93" s="27"/>
      <x:c r="L93" s="27"/>
    </x:row>
    <x:row r="94">
      <x:c r="H94" s="27"/>
      <x:c r="I94" s="27"/>
      <x:c r="L94" s="27"/>
    </x:row>
    <x:row r="95">
      <x:c r="H95" s="27"/>
      <x:c r="I95" s="27"/>
      <x:c r="L95" s="27"/>
    </x:row>
    <x:row r="96">
      <x:c r="H96" s="27"/>
      <x:c r="I96" s="27"/>
      <x:c r="L96" s="27"/>
    </x:row>
    <x:row r="97">
      <x:c r="H97" s="27"/>
      <x:c r="I97" s="27"/>
      <x:c r="L97" s="27"/>
    </x:row>
    <x:row r="98">
      <x:c r="H98" s="27"/>
      <x:c r="I98" s="27"/>
      <x:c r="L98" s="27"/>
    </x:row>
    <x:row r="99">
      <x:c r="H99" s="27"/>
      <x:c r="I99" s="27"/>
      <x:c r="L99" s="27"/>
    </x:row>
    <x:row r="100">
      <x:c r="H100" s="27"/>
      <x:c r="I100" s="27"/>
      <x:c r="L100" s="2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.789999961853027" hidden="0" customWidth="1"/>
    <x:col min="2" max="2" width="10.359999656677246" hidden="0" customWidth="1"/>
    <x:col min="3" max="3" width="12.649999618530273" hidden="0" customWidth="1"/>
    <x:col min="4" max="4" width="25.84000015258789" hidden="0" customWidth="1"/>
    <x:col min="5" max="5" width="9.960000038146973" hidden="0" customWidth="1"/>
    <x:col min="6" max="6" width="7.670000076293945" hidden="0" customWidth="1"/>
    <x:col min="7" max="7" width="7" hidden="0" customWidth="1"/>
    <x:col min="8" max="8" width="10.359999656677246" hidden="0" customWidth="1"/>
    <x:col min="9" max="9" width="17.5" hidden="0" customWidth="1"/>
    <x:col min="10" max="10" width="17.09000015258789" hidden="0" customWidth="1"/>
    <x:col min="11" max="11" width="12.920000076293945" hidden="0" customWidth="1"/>
    <x:col min="12" max="12" width="6.190000057220459" hidden="0" customWidth="1"/>
  </x:cols>
  <x:sheetData>
    <x:row r="1" ht="15" hidden="0" customHeight="1">
      <x:c r="A1" s="25" t="str">
        <x:v>source_record_id</x:v>
      </x:c>
      <x:c r="B1" s="25" t="str">
        <x:v>financial_year</x:v>
      </x:c>
      <x:c r="C1" s="25" t="str">
        <x:v>component_type</x:v>
      </x:c>
      <x:c r="D1" s="25" t="str">
        <x:v>description</x:v>
      </x:c>
      <x:c r="E1" s="25" t="str">
        <x:v>annual_value</x:v>
      </x:c>
      <x:c r="F1" s="25" t="str">
        <x:v>start_date</x:v>
      </x:c>
      <x:c r="G1" s="25" t="str">
        <x:v>end_date</x:v>
      </x:c>
      <x:c r="H1" s="25" t="str">
        <x:v>agreed_by</x:v>
      </x:c>
      <x:c r="I1" s="25" t="str">
        <x:v>evidence_reference</x:v>
      </x:c>
      <x:c r="J1" s="25" t="str">
        <x:v>expected_receipt_date</x:v>
      </x:c>
      <x:c r="K1" s="25" t="str">
        <x:v>received_to_date</x:v>
      </x:c>
      <x:c r="L1" s="25" t="str">
        <x:v>variance</x:v>
      </x:c>
    </x:row>
    <x:row r="2" ht="15" hidden="0" customHeight="1">
      <x:c r="A2" s="19" t="str">
        <x:v>arbor-demo-1001</x:v>
      </x:c>
      <x:c r="B2" s="19" t="str">
        <x:v>2026/27</x:v>
      </x:c>
      <x:c r="C2" s="19" t="str">
        <x:v>Base Element 2</x:v>
      </x:c>
      <x:c r="D2" s="19" t="str">
        <x:v>Notional SEN contribution</x:v>
      </x:c>
      <x:c r="E2" s="30" t="n">
        <x:v>6000</x:v>
      </x:c>
      <x:c r="F2" s="26" t="n">
        <x:v>46113</x:v>
      </x:c>
      <x:c r="G2" s="26" t="n">
        <x:v>46477</x:v>
      </x:c>
      <x:c r="H2" s="19" t="str">
        <x:v>School budget</x:v>
      </x:c>
      <x:c r="I2" s="19" t="str">
        <x:v>Budget line</x:v>
      </x:c>
      <x:c r="J2" s="26" t="n">
        <x:v>46142</x:v>
      </x:c>
      <x:c r="K2" s="30" t="n">
        <x:v>6000</x:v>
      </x:c>
      <x:c r="L2" s="30" t="n">
        <x:f>E2-K2</x:f>
        <x:v>0</x:v>
      </x:c>
    </x:row>
    <x:row r="3" ht="15" hidden="0" customHeight="1">
      <x:c r="A3" s="19" t="str">
        <x:v>arbor-demo-1001</x:v>
      </x:c>
      <x:c r="B3" s="19" t="str">
        <x:v>2026/27</x:v>
      </x:c>
      <x:c r="C3" s="19" t="str">
        <x:v>Element 3 top-up</x:v>
      </x:c>
      <x:c r="D3" s="19" t="str">
        <x:v>LA Band 3 EHCP top-up</x:v>
      </x:c>
      <x:c r="E3" s="30" t="n">
        <x:v>12000</x:v>
      </x:c>
      <x:c r="F3" s="26" t="n">
        <x:v>46113</x:v>
      </x:c>
      <x:c r="G3" s="26" t="n">
        <x:v>46477</x:v>
      </x:c>
      <x:c r="H3" s="19" t="str">
        <x:v>Bradford LA</x:v>
      </x:c>
      <x:c r="I3" s="19" t="str">
        <x:v>EHCP amendment letter</x:v>
      </x:c>
      <x:c r="J3" s="26" t="n">
        <x:v>46203</x:v>
      </x:c>
      <x:c r="K3" s="30" t="n">
        <x:v>3000</x:v>
      </x:c>
      <x:c r="L3" s="30" t="n">
        <x:f>E3-K3</x:f>
        <x:v>9000</x:v>
      </x:c>
    </x:row>
    <x:row r="4" ht="15" hidden="0" customHeight="1">
      <x:c r="A4" s="19" t="str">
        <x:v>arbor-demo-1003</x:v>
      </x:c>
      <x:c r="B4" s="19" t="str">
        <x:v>2026/27</x:v>
      </x:c>
      <x:c r="C4" s="19" t="str">
        <x:v>Element 3 top-up</x:v>
      </x:c>
      <x:c r="D4" s="19" t="str">
        <x:v>LA Band 2 EHCP top-up</x:v>
      </x:c>
      <x:c r="E4" s="30" t="n">
        <x:v>8500</x:v>
      </x:c>
      <x:c r="F4" s="26" t="n">
        <x:v>46113</x:v>
      </x:c>
      <x:c r="G4" s="26" t="n">
        <x:v>46477</x:v>
      </x:c>
      <x:c r="H4" s="19" t="str">
        <x:v>Bradford LA</x:v>
      </x:c>
      <x:c r="I4" s="19" t="str">
        <x:v>EHCP final plan</x:v>
      </x:c>
      <x:c r="J4" s="26" t="n">
        <x:v>46203</x:v>
      </x:c>
      <x:c r="K4" s="30" t="n">
        <x:v>2125</x:v>
      </x:c>
      <x:c r="L4" s="30" t="n">
        <x:f>E4-K4</x:f>
        <x:v>6375</x:v>
      </x:c>
    </x:row>
    <x:row r="5" ht="15" hidden="0" customHeight="1">
      <x:c r="A5" s="19" t="str">
        <x:v>arbor-demo-1004</x:v>
      </x:c>
      <x:c r="B5" s="19" t="str">
        <x:v>2026/27</x:v>
      </x:c>
      <x:c r="C5" s="19" t="str">
        <x:v>Element 3 top-up</x:v>
      </x:c>
      <x:c r="D5" s="19" t="str">
        <x:v>LA Band 4 EHCP top-up</x:v>
      </x:c>
      <x:c r="E5" s="30" t="n">
        <x:v>16000</x:v>
      </x:c>
      <x:c r="F5" s="26" t="n">
        <x:v>46113</x:v>
      </x:c>
      <x:c r="G5" s="26" t="n">
        <x:v>46477</x:v>
      </x:c>
      <x:c r="H5" s="19" t="str">
        <x:v>Bradford LA</x:v>
      </x:c>
      <x:c r="I5" s="19" t="str">
        <x:v>Annual review decision</x:v>
      </x:c>
      <x:c r="J5" s="26" t="n">
        <x:v>46203</x:v>
      </x:c>
      <x:c r="K5" s="30" t="n">
        <x:v>4000</x:v>
      </x:c>
      <x:c r="L5" s="30" t="n">
        <x:f>E5-K5</x:f>
        <x:v>12000</x:v>
      </x:c>
    </x:row>
    <x:row r="6" ht="15" hidden="0" customHeight="1">
      <x:c r="A6" s="19" t="str">
        <x:v>arbor-demo-1004</x:v>
      </x:c>
      <x:c r="B6" s="19" t="str">
        <x:v>2026/27</x:v>
      </x:c>
      <x:c r="C6" s="19" t="str">
        <x:v>Backdated uplift</x:v>
      </x:c>
      <x:c r="D6" s="19" t="str">
        <x:v>Band 3 to Band 4 uplift from review</x:v>
      </x:c>
      <x:c r="E6" s="30" t="n">
        <x:v>2200</x:v>
      </x:c>
      <x:c r="F6" s="26" t="n">
        <x:v>46054</x:v>
      </x:c>
      <x:c r="G6" s="26" t="n">
        <x:v>46112</x:v>
      </x:c>
      <x:c r="H6" s="19" t="str">
        <x:v>Bradford LA</x:v>
      </x:c>
      <x:c r="I6" s="19" t="str">
        <x:v>LA agreement email</x:v>
      </x:c>
      <x:c r="J6" s="26" t="n">
        <x:v>46173</x:v>
      </x:c>
      <x:c r="K6" s="30" t="n">
        <x:v>0</x:v>
      </x:c>
      <x:c r="L6" s="30" t="n">
        <x:f>E6-K6</x:f>
        <x:v>2200</x:v>
      </x:c>
    </x:row>
    <x:row r="7">
      <x:c r="E7" s="31"/>
      <x:c r="F7" s="27"/>
      <x:c r="G7" s="27"/>
      <x:c r="J7" s="27"/>
      <x:c r="K7" s="31"/>
      <x:c r="L7" s="31"/>
    </x:row>
    <x:row r="8">
      <x:c r="E8" s="31"/>
      <x:c r="F8" s="27"/>
      <x:c r="G8" s="27"/>
      <x:c r="J8" s="27"/>
      <x:c r="K8" s="31"/>
      <x:c r="L8" s="31"/>
    </x:row>
    <x:row r="9">
      <x:c r="E9" s="31"/>
      <x:c r="F9" s="27"/>
      <x:c r="G9" s="27"/>
      <x:c r="J9" s="27"/>
      <x:c r="K9" s="31"/>
      <x:c r="L9" s="31"/>
    </x:row>
    <x:row r="10">
      <x:c r="E10" s="31"/>
      <x:c r="F10" s="27"/>
      <x:c r="G10" s="27"/>
      <x:c r="J10" s="27"/>
      <x:c r="K10" s="31"/>
      <x:c r="L10" s="31"/>
    </x:row>
    <x:row r="11">
      <x:c r="E11" s="31"/>
      <x:c r="F11" s="27"/>
      <x:c r="G11" s="27"/>
      <x:c r="J11" s="27"/>
      <x:c r="K11" s="31"/>
      <x:c r="L11" s="31"/>
    </x:row>
    <x:row r="12">
      <x:c r="E12" s="31"/>
      <x:c r="F12" s="27"/>
      <x:c r="G12" s="27"/>
      <x:c r="J12" s="27"/>
      <x:c r="K12" s="31"/>
      <x:c r="L12" s="31"/>
    </x:row>
    <x:row r="13">
      <x:c r="E13" s="31"/>
      <x:c r="F13" s="27"/>
      <x:c r="G13" s="27"/>
      <x:c r="J13" s="27"/>
      <x:c r="K13" s="31"/>
      <x:c r="L13" s="31"/>
    </x:row>
    <x:row r="14">
      <x:c r="E14" s="31"/>
      <x:c r="F14" s="27"/>
      <x:c r="G14" s="27"/>
      <x:c r="J14" s="27"/>
      <x:c r="K14" s="31"/>
      <x:c r="L14" s="31"/>
    </x:row>
    <x:row r="15">
      <x:c r="E15" s="31"/>
      <x:c r="F15" s="27"/>
      <x:c r="G15" s="27"/>
      <x:c r="J15" s="27"/>
      <x:c r="K15" s="31"/>
      <x:c r="L15" s="31"/>
    </x:row>
    <x:row r="16">
      <x:c r="E16" s="31"/>
      <x:c r="F16" s="27"/>
      <x:c r="G16" s="27"/>
      <x:c r="J16" s="27"/>
      <x:c r="K16" s="31"/>
      <x:c r="L16" s="31"/>
    </x:row>
    <x:row r="17">
      <x:c r="E17" s="31"/>
      <x:c r="F17" s="27"/>
      <x:c r="G17" s="27"/>
      <x:c r="J17" s="27"/>
      <x:c r="K17" s="31"/>
      <x:c r="L17" s="31"/>
    </x:row>
    <x:row r="18">
      <x:c r="E18" s="31"/>
      <x:c r="F18" s="27"/>
      <x:c r="G18" s="27"/>
      <x:c r="J18" s="27"/>
      <x:c r="K18" s="31"/>
      <x:c r="L18" s="31"/>
    </x:row>
    <x:row r="19">
      <x:c r="E19" s="31"/>
      <x:c r="F19" s="27"/>
      <x:c r="G19" s="27"/>
      <x:c r="J19" s="27"/>
      <x:c r="K19" s="31"/>
      <x:c r="L19" s="31"/>
    </x:row>
    <x:row r="20">
      <x:c r="E20" s="31"/>
      <x:c r="F20" s="27"/>
      <x:c r="G20" s="27"/>
      <x:c r="J20" s="27"/>
      <x:c r="K20" s="31"/>
      <x:c r="L20" s="31"/>
    </x:row>
    <x:row r="21">
      <x:c r="E21" s="31"/>
      <x:c r="F21" s="27"/>
      <x:c r="G21" s="27"/>
      <x:c r="J21" s="27"/>
      <x:c r="K21" s="31"/>
      <x:c r="L21" s="31"/>
    </x:row>
    <x:row r="22">
      <x:c r="E22" s="31"/>
      <x:c r="F22" s="27"/>
      <x:c r="G22" s="27"/>
      <x:c r="J22" s="27"/>
      <x:c r="K22" s="31"/>
      <x:c r="L22" s="31"/>
    </x:row>
    <x:row r="23">
      <x:c r="E23" s="31"/>
      <x:c r="F23" s="27"/>
      <x:c r="G23" s="27"/>
      <x:c r="J23" s="27"/>
      <x:c r="K23" s="31"/>
      <x:c r="L23" s="31"/>
    </x:row>
    <x:row r="24">
      <x:c r="E24" s="31"/>
      <x:c r="F24" s="27"/>
      <x:c r="G24" s="27"/>
      <x:c r="J24" s="27"/>
      <x:c r="K24" s="31"/>
      <x:c r="L24" s="31"/>
    </x:row>
    <x:row r="25">
      <x:c r="E25" s="31"/>
      <x:c r="F25" s="27"/>
      <x:c r="G25" s="27"/>
      <x:c r="J25" s="27"/>
      <x:c r="K25" s="31"/>
      <x:c r="L25" s="31"/>
    </x:row>
    <x:row r="26">
      <x:c r="E26" s="31"/>
      <x:c r="F26" s="27"/>
      <x:c r="G26" s="27"/>
      <x:c r="J26" s="27"/>
      <x:c r="K26" s="31"/>
      <x:c r="L26" s="31"/>
    </x:row>
    <x:row r="27">
      <x:c r="E27" s="31"/>
      <x:c r="F27" s="27"/>
      <x:c r="G27" s="27"/>
      <x:c r="J27" s="27"/>
      <x:c r="K27" s="31"/>
      <x:c r="L27" s="31"/>
    </x:row>
    <x:row r="28">
      <x:c r="E28" s="31"/>
      <x:c r="F28" s="27"/>
      <x:c r="G28" s="27"/>
      <x:c r="J28" s="27"/>
      <x:c r="K28" s="31"/>
      <x:c r="L28" s="31"/>
    </x:row>
    <x:row r="29">
      <x:c r="E29" s="31"/>
      <x:c r="F29" s="27"/>
      <x:c r="G29" s="27"/>
      <x:c r="J29" s="27"/>
      <x:c r="K29" s="31"/>
      <x:c r="L29" s="31"/>
    </x:row>
    <x:row r="30">
      <x:c r="E30" s="31"/>
      <x:c r="F30" s="27"/>
      <x:c r="G30" s="27"/>
      <x:c r="J30" s="27"/>
      <x:c r="K30" s="31"/>
      <x:c r="L30" s="31"/>
    </x:row>
    <x:row r="31">
      <x:c r="E31" s="31"/>
      <x:c r="F31" s="27"/>
      <x:c r="G31" s="27"/>
      <x:c r="J31" s="27"/>
      <x:c r="K31" s="31"/>
      <x:c r="L31" s="31"/>
    </x:row>
    <x:row r="32">
      <x:c r="E32" s="31"/>
      <x:c r="F32" s="27"/>
      <x:c r="G32" s="27"/>
      <x:c r="J32" s="27"/>
      <x:c r="K32" s="31"/>
      <x:c r="L32" s="31"/>
    </x:row>
    <x:row r="33">
      <x:c r="E33" s="31"/>
      <x:c r="F33" s="27"/>
      <x:c r="G33" s="27"/>
      <x:c r="J33" s="27"/>
      <x:c r="K33" s="31"/>
      <x:c r="L33" s="31"/>
    </x:row>
    <x:row r="34">
      <x:c r="E34" s="31"/>
      <x:c r="F34" s="27"/>
      <x:c r="G34" s="27"/>
      <x:c r="J34" s="27"/>
      <x:c r="K34" s="31"/>
      <x:c r="L34" s="31"/>
    </x:row>
    <x:row r="35">
      <x:c r="E35" s="31"/>
      <x:c r="F35" s="27"/>
      <x:c r="G35" s="27"/>
      <x:c r="J35" s="27"/>
      <x:c r="K35" s="31"/>
      <x:c r="L35" s="31"/>
    </x:row>
    <x:row r="36">
      <x:c r="E36" s="31"/>
      <x:c r="F36" s="27"/>
      <x:c r="G36" s="27"/>
      <x:c r="J36" s="27"/>
      <x:c r="K36" s="31"/>
      <x:c r="L36" s="31"/>
    </x:row>
    <x:row r="37">
      <x:c r="E37" s="31"/>
      <x:c r="F37" s="27"/>
      <x:c r="G37" s="27"/>
      <x:c r="J37" s="27"/>
      <x:c r="K37" s="31"/>
      <x:c r="L37" s="31"/>
    </x:row>
    <x:row r="38">
      <x:c r="E38" s="31"/>
      <x:c r="F38" s="27"/>
      <x:c r="G38" s="27"/>
      <x:c r="J38" s="27"/>
      <x:c r="K38" s="31"/>
      <x:c r="L38" s="31"/>
    </x:row>
    <x:row r="39">
      <x:c r="E39" s="31"/>
      <x:c r="F39" s="27"/>
      <x:c r="G39" s="27"/>
      <x:c r="J39" s="27"/>
      <x:c r="K39" s="31"/>
      <x:c r="L39" s="31"/>
    </x:row>
    <x:row r="40">
      <x:c r="E40" s="31"/>
      <x:c r="F40" s="27"/>
      <x:c r="G40" s="27"/>
      <x:c r="J40" s="27"/>
      <x:c r="K40" s="31"/>
      <x:c r="L40" s="31"/>
    </x:row>
    <x:row r="41">
      <x:c r="E41" s="31"/>
      <x:c r="F41" s="27"/>
      <x:c r="G41" s="27"/>
      <x:c r="J41" s="27"/>
      <x:c r="K41" s="31"/>
      <x:c r="L41" s="31"/>
    </x:row>
    <x:row r="42">
      <x:c r="E42" s="31"/>
      <x:c r="F42" s="27"/>
      <x:c r="G42" s="27"/>
      <x:c r="J42" s="27"/>
      <x:c r="K42" s="31"/>
      <x:c r="L42" s="31"/>
    </x:row>
    <x:row r="43">
      <x:c r="E43" s="31"/>
      <x:c r="F43" s="27"/>
      <x:c r="G43" s="27"/>
      <x:c r="J43" s="27"/>
      <x:c r="K43" s="31"/>
      <x:c r="L43" s="31"/>
    </x:row>
    <x:row r="44">
      <x:c r="E44" s="31"/>
      <x:c r="F44" s="27"/>
      <x:c r="G44" s="27"/>
      <x:c r="J44" s="27"/>
      <x:c r="K44" s="31"/>
      <x:c r="L44" s="31"/>
    </x:row>
    <x:row r="45">
      <x:c r="E45" s="31"/>
      <x:c r="F45" s="27"/>
      <x:c r="G45" s="27"/>
      <x:c r="J45" s="27"/>
      <x:c r="K45" s="31"/>
      <x:c r="L45" s="31"/>
    </x:row>
    <x:row r="46">
      <x:c r="E46" s="31"/>
      <x:c r="F46" s="27"/>
      <x:c r="G46" s="27"/>
      <x:c r="J46" s="27"/>
      <x:c r="K46" s="31"/>
      <x:c r="L46" s="31"/>
    </x:row>
    <x:row r="47">
      <x:c r="E47" s="31"/>
      <x:c r="F47" s="27"/>
      <x:c r="G47" s="27"/>
      <x:c r="J47" s="27"/>
      <x:c r="K47" s="31"/>
      <x:c r="L47" s="31"/>
    </x:row>
    <x:row r="48">
      <x:c r="E48" s="31"/>
      <x:c r="F48" s="27"/>
      <x:c r="G48" s="27"/>
      <x:c r="J48" s="27"/>
      <x:c r="K48" s="31"/>
      <x:c r="L48" s="31"/>
    </x:row>
    <x:row r="49">
      <x:c r="E49" s="31"/>
      <x:c r="F49" s="27"/>
      <x:c r="G49" s="27"/>
      <x:c r="J49" s="27"/>
      <x:c r="K49" s="31"/>
      <x:c r="L49" s="31"/>
    </x:row>
    <x:row r="50">
      <x:c r="E50" s="31"/>
      <x:c r="F50" s="27"/>
      <x:c r="G50" s="27"/>
      <x:c r="J50" s="27"/>
      <x:c r="K50" s="31"/>
      <x:c r="L50" s="31"/>
    </x:row>
    <x:row r="51">
      <x:c r="E51" s="31"/>
      <x:c r="F51" s="27"/>
      <x:c r="G51" s="27"/>
      <x:c r="J51" s="27"/>
      <x:c r="K51" s="31"/>
      <x:c r="L51" s="31"/>
    </x:row>
    <x:row r="52">
      <x:c r="E52" s="31"/>
      <x:c r="F52" s="27"/>
      <x:c r="G52" s="27"/>
      <x:c r="J52" s="27"/>
      <x:c r="K52" s="31"/>
      <x:c r="L52" s="31"/>
    </x:row>
    <x:row r="53">
      <x:c r="E53" s="31"/>
      <x:c r="F53" s="27"/>
      <x:c r="G53" s="27"/>
      <x:c r="J53" s="27"/>
      <x:c r="K53" s="31"/>
      <x:c r="L53" s="31"/>
    </x:row>
    <x:row r="54">
      <x:c r="E54" s="31"/>
      <x:c r="F54" s="27"/>
      <x:c r="G54" s="27"/>
      <x:c r="J54" s="27"/>
      <x:c r="K54" s="31"/>
      <x:c r="L54" s="31"/>
    </x:row>
    <x:row r="55">
      <x:c r="E55" s="31"/>
      <x:c r="F55" s="27"/>
      <x:c r="G55" s="27"/>
      <x:c r="J55" s="27"/>
      <x:c r="K55" s="31"/>
      <x:c r="L55" s="31"/>
    </x:row>
    <x:row r="56">
      <x:c r="E56" s="31"/>
      <x:c r="F56" s="27"/>
      <x:c r="G56" s="27"/>
      <x:c r="J56" s="27"/>
      <x:c r="K56" s="31"/>
      <x:c r="L56" s="31"/>
    </x:row>
    <x:row r="57">
      <x:c r="E57" s="31"/>
      <x:c r="F57" s="27"/>
      <x:c r="G57" s="27"/>
      <x:c r="J57" s="27"/>
      <x:c r="K57" s="31"/>
      <x:c r="L57" s="31"/>
    </x:row>
    <x:row r="58">
      <x:c r="E58" s="31"/>
      <x:c r="F58" s="27"/>
      <x:c r="G58" s="27"/>
      <x:c r="J58" s="27"/>
      <x:c r="K58" s="31"/>
      <x:c r="L58" s="31"/>
    </x:row>
    <x:row r="59">
      <x:c r="E59" s="31"/>
      <x:c r="F59" s="27"/>
      <x:c r="G59" s="27"/>
      <x:c r="J59" s="27"/>
      <x:c r="K59" s="31"/>
      <x:c r="L59" s="31"/>
    </x:row>
    <x:row r="60">
      <x:c r="E60" s="31"/>
      <x:c r="F60" s="27"/>
      <x:c r="G60" s="27"/>
      <x:c r="J60" s="27"/>
      <x:c r="K60" s="31"/>
      <x:c r="L60" s="31"/>
    </x:row>
    <x:row r="61">
      <x:c r="E61" s="31"/>
      <x:c r="F61" s="27"/>
      <x:c r="G61" s="27"/>
      <x:c r="J61" s="27"/>
      <x:c r="K61" s="31"/>
      <x:c r="L61" s="31"/>
    </x:row>
    <x:row r="62">
      <x:c r="E62" s="31"/>
      <x:c r="F62" s="27"/>
      <x:c r="G62" s="27"/>
      <x:c r="J62" s="27"/>
      <x:c r="K62" s="31"/>
      <x:c r="L62" s="31"/>
    </x:row>
    <x:row r="63">
      <x:c r="E63" s="31"/>
      <x:c r="F63" s="27"/>
      <x:c r="G63" s="27"/>
      <x:c r="J63" s="27"/>
      <x:c r="K63" s="31"/>
      <x:c r="L63" s="31"/>
    </x:row>
    <x:row r="64">
      <x:c r="E64" s="31"/>
      <x:c r="F64" s="27"/>
      <x:c r="G64" s="27"/>
      <x:c r="J64" s="27"/>
      <x:c r="K64" s="31"/>
      <x:c r="L64" s="31"/>
    </x:row>
    <x:row r="65">
      <x:c r="E65" s="31"/>
      <x:c r="F65" s="27"/>
      <x:c r="G65" s="27"/>
      <x:c r="J65" s="27"/>
      <x:c r="K65" s="31"/>
      <x:c r="L65" s="31"/>
    </x:row>
    <x:row r="66">
      <x:c r="E66" s="31"/>
      <x:c r="F66" s="27"/>
      <x:c r="G66" s="27"/>
      <x:c r="J66" s="27"/>
      <x:c r="K66" s="31"/>
      <x:c r="L66" s="31"/>
    </x:row>
    <x:row r="67">
      <x:c r="E67" s="31"/>
      <x:c r="F67" s="27"/>
      <x:c r="G67" s="27"/>
      <x:c r="J67" s="27"/>
      <x:c r="K67" s="31"/>
      <x:c r="L67" s="31"/>
    </x:row>
    <x:row r="68">
      <x:c r="E68" s="31"/>
      <x:c r="F68" s="27"/>
      <x:c r="G68" s="27"/>
      <x:c r="J68" s="27"/>
      <x:c r="K68" s="31"/>
      <x:c r="L68" s="31"/>
    </x:row>
    <x:row r="69">
      <x:c r="E69" s="31"/>
      <x:c r="F69" s="27"/>
      <x:c r="G69" s="27"/>
      <x:c r="J69" s="27"/>
      <x:c r="K69" s="31"/>
      <x:c r="L69" s="31"/>
    </x:row>
    <x:row r="70">
      <x:c r="E70" s="31"/>
      <x:c r="F70" s="27"/>
      <x:c r="G70" s="27"/>
      <x:c r="J70" s="27"/>
      <x:c r="K70" s="31"/>
      <x:c r="L70" s="31"/>
    </x:row>
    <x:row r="71">
      <x:c r="E71" s="31"/>
      <x:c r="F71" s="27"/>
      <x:c r="G71" s="27"/>
      <x:c r="J71" s="27"/>
      <x:c r="K71" s="31"/>
      <x:c r="L71" s="31"/>
    </x:row>
    <x:row r="72">
      <x:c r="E72" s="31"/>
      <x:c r="F72" s="27"/>
      <x:c r="G72" s="27"/>
      <x:c r="J72" s="27"/>
      <x:c r="K72" s="31"/>
      <x:c r="L72" s="31"/>
    </x:row>
    <x:row r="73">
      <x:c r="E73" s="31"/>
      <x:c r="F73" s="27"/>
      <x:c r="G73" s="27"/>
      <x:c r="J73" s="27"/>
      <x:c r="K73" s="31"/>
      <x:c r="L73" s="31"/>
    </x:row>
    <x:row r="74">
      <x:c r="E74" s="31"/>
      <x:c r="F74" s="27"/>
      <x:c r="G74" s="27"/>
      <x:c r="J74" s="27"/>
      <x:c r="K74" s="31"/>
      <x:c r="L74" s="31"/>
    </x:row>
    <x:row r="75">
      <x:c r="E75" s="31"/>
      <x:c r="F75" s="27"/>
      <x:c r="G75" s="27"/>
      <x:c r="J75" s="27"/>
      <x:c r="K75" s="31"/>
      <x:c r="L75" s="31"/>
    </x:row>
    <x:row r="76">
      <x:c r="E76" s="31"/>
      <x:c r="F76" s="27"/>
      <x:c r="G76" s="27"/>
      <x:c r="J76" s="27"/>
      <x:c r="K76" s="31"/>
      <x:c r="L76" s="31"/>
    </x:row>
    <x:row r="77">
      <x:c r="E77" s="31"/>
      <x:c r="F77" s="27"/>
      <x:c r="G77" s="27"/>
      <x:c r="J77" s="27"/>
      <x:c r="K77" s="31"/>
      <x:c r="L77" s="31"/>
    </x:row>
    <x:row r="78">
      <x:c r="E78" s="31"/>
      <x:c r="F78" s="27"/>
      <x:c r="G78" s="27"/>
      <x:c r="J78" s="27"/>
      <x:c r="K78" s="31"/>
      <x:c r="L78" s="31"/>
    </x:row>
    <x:row r="79">
      <x:c r="E79" s="31"/>
      <x:c r="F79" s="27"/>
      <x:c r="G79" s="27"/>
      <x:c r="J79" s="27"/>
      <x:c r="K79" s="31"/>
      <x:c r="L79" s="31"/>
    </x:row>
    <x:row r="80">
      <x:c r="E80" s="31"/>
      <x:c r="F80" s="27"/>
      <x:c r="G80" s="27"/>
      <x:c r="J80" s="27"/>
      <x:c r="K80" s="31"/>
      <x:c r="L80" s="31"/>
    </x:row>
    <x:row r="81">
      <x:c r="E81" s="31"/>
      <x:c r="F81" s="27"/>
      <x:c r="G81" s="27"/>
      <x:c r="J81" s="27"/>
      <x:c r="K81" s="31"/>
      <x:c r="L81" s="31"/>
    </x:row>
    <x:row r="82">
      <x:c r="E82" s="31"/>
      <x:c r="F82" s="27"/>
      <x:c r="G82" s="27"/>
      <x:c r="J82" s="27"/>
      <x:c r="K82" s="31"/>
      <x:c r="L82" s="31"/>
    </x:row>
    <x:row r="83">
      <x:c r="E83" s="31"/>
      <x:c r="F83" s="27"/>
      <x:c r="G83" s="27"/>
      <x:c r="J83" s="27"/>
      <x:c r="K83" s="31"/>
      <x:c r="L83" s="31"/>
    </x:row>
    <x:row r="84">
      <x:c r="E84" s="31"/>
      <x:c r="F84" s="27"/>
      <x:c r="G84" s="27"/>
      <x:c r="J84" s="27"/>
      <x:c r="K84" s="31"/>
      <x:c r="L84" s="31"/>
    </x:row>
    <x:row r="85">
      <x:c r="E85" s="31"/>
      <x:c r="F85" s="27"/>
      <x:c r="G85" s="27"/>
      <x:c r="J85" s="27"/>
      <x:c r="K85" s="31"/>
      <x:c r="L85" s="31"/>
    </x:row>
    <x:row r="86">
      <x:c r="E86" s="31"/>
      <x:c r="F86" s="27"/>
      <x:c r="G86" s="27"/>
      <x:c r="J86" s="27"/>
      <x:c r="K86" s="31"/>
      <x:c r="L86" s="31"/>
    </x:row>
    <x:row r="87">
      <x:c r="E87" s="31"/>
      <x:c r="F87" s="27"/>
      <x:c r="G87" s="27"/>
      <x:c r="J87" s="27"/>
      <x:c r="K87" s="31"/>
      <x:c r="L87" s="31"/>
    </x:row>
    <x:row r="88">
      <x:c r="E88" s="31"/>
      <x:c r="F88" s="27"/>
      <x:c r="G88" s="27"/>
      <x:c r="J88" s="27"/>
      <x:c r="K88" s="31"/>
      <x:c r="L88" s="31"/>
    </x:row>
    <x:row r="89">
      <x:c r="E89" s="31"/>
      <x:c r="F89" s="27"/>
      <x:c r="G89" s="27"/>
      <x:c r="J89" s="27"/>
      <x:c r="K89" s="31"/>
      <x:c r="L89" s="31"/>
    </x:row>
    <x:row r="90">
      <x:c r="E90" s="31"/>
      <x:c r="F90" s="27"/>
      <x:c r="G90" s="27"/>
      <x:c r="J90" s="27"/>
      <x:c r="K90" s="31"/>
      <x:c r="L90" s="31"/>
    </x:row>
    <x:row r="91">
      <x:c r="E91" s="31"/>
      <x:c r="F91" s="27"/>
      <x:c r="G91" s="27"/>
      <x:c r="J91" s="27"/>
      <x:c r="K91" s="31"/>
      <x:c r="L91" s="31"/>
    </x:row>
    <x:row r="92">
      <x:c r="E92" s="31"/>
      <x:c r="F92" s="27"/>
      <x:c r="G92" s="27"/>
      <x:c r="J92" s="27"/>
      <x:c r="K92" s="31"/>
      <x:c r="L92" s="31"/>
    </x:row>
    <x:row r="93">
      <x:c r="E93" s="31"/>
      <x:c r="F93" s="27"/>
      <x:c r="G93" s="27"/>
      <x:c r="J93" s="27"/>
      <x:c r="K93" s="31"/>
      <x:c r="L93" s="31"/>
    </x:row>
    <x:row r="94">
      <x:c r="E94" s="31"/>
      <x:c r="F94" s="27"/>
      <x:c r="G94" s="27"/>
      <x:c r="J94" s="27"/>
      <x:c r="K94" s="31"/>
      <x:c r="L94" s="31"/>
    </x:row>
    <x:row r="95">
      <x:c r="E95" s="31"/>
      <x:c r="F95" s="27"/>
      <x:c r="G95" s="27"/>
      <x:c r="J95" s="27"/>
      <x:c r="K95" s="31"/>
      <x:c r="L95" s="31"/>
    </x:row>
    <x:row r="96">
      <x:c r="E96" s="31"/>
      <x:c r="F96" s="27"/>
      <x:c r="G96" s="27"/>
      <x:c r="J96" s="27"/>
      <x:c r="K96" s="31"/>
      <x:c r="L96" s="31"/>
    </x:row>
    <x:row r="97">
      <x:c r="E97" s="31"/>
      <x:c r="F97" s="27"/>
      <x:c r="G97" s="27"/>
      <x:c r="J97" s="27"/>
      <x:c r="K97" s="31"/>
      <x:c r="L97" s="31"/>
    </x:row>
    <x:row r="98">
      <x:c r="E98" s="31"/>
      <x:c r="F98" s="27"/>
      <x:c r="G98" s="27"/>
      <x:c r="J98" s="27"/>
      <x:c r="K98" s="31"/>
      <x:c r="L98" s="31"/>
    </x:row>
    <x:row r="99">
      <x:c r="E99" s="31"/>
      <x:c r="F99" s="27"/>
      <x:c r="G99" s="27"/>
      <x:c r="J99" s="27"/>
      <x:c r="K99" s="31"/>
      <x:c r="L99" s="31"/>
    </x:row>
    <x:row r="100">
      <x:c r="E100" s="31"/>
      <x:c r="F100" s="27"/>
      <x:c r="G100" s="27"/>
      <x:c r="J100" s="27"/>
      <x:c r="K100" s="31"/>
      <x:c r="L100" s="3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.789999961853027" hidden="0" customWidth="1"/>
    <x:col min="2" max="2" width="10.359999656677246" hidden="0" customWidth="1"/>
    <x:col min="3" max="3" width="39.29999923706055" hidden="0" customWidth="1"/>
    <x:col min="4" max="4" width="10.630000114440918" hidden="0" customWidth="1"/>
    <x:col min="5" max="5" width="7" hidden="0" customWidth="1"/>
    <x:col min="6" max="6" width="4.440000057220459" hidden="0" customWidth="1"/>
    <x:col min="7" max="7" width="10.359999656677246" hidden="0" customWidth="1"/>
    <x:col min="8" max="8" width="22.8799991607666" hidden="0" customWidth="1"/>
  </x:cols>
  <x:sheetData>
    <x:row r="1" ht="15" hidden="0" customHeight="1">
      <x:c r="A1" s="25" t="str">
        <x:v>source_record_id</x:v>
      </x:c>
      <x:c r="B1" s="25" t="str">
        <x:v>task_type</x:v>
      </x:c>
      <x:c r="C1" s="25" t="str">
        <x:v>task_title</x:v>
      </x:c>
      <x:c r="D1" s="25" t="str">
        <x:v>owner</x:v>
      </x:c>
      <x:c r="E1" s="25" t="str">
        <x:v>due_date</x:v>
      </x:c>
      <x:c r="F1" s="25" t="str">
        <x:v>status</x:v>
      </x:c>
      <x:c r="G1" s="25" t="str">
        <x:v>statutory_risk</x:v>
      </x:c>
      <x:c r="H1" s="25" t="str">
        <x:v>output_document</x:v>
      </x:c>
    </x:row>
    <x:row r="2" ht="15" hidden="0" customHeight="1">
      <x:c r="A2" s="19" t="str">
        <x:v>arbor-demo-1001</x:v>
      </x:c>
      <x:c r="B2" s="19" t="str">
        <x:v>Annual review</x:v>
      </x:c>
      <x:c r="C2" s="19" t="str">
        <x:v>Send invitations and advice requests</x:v>
      </x:c>
      <x:c r="D2" s="19" t="str">
        <x:v>SENCO</x:v>
      </x:c>
      <x:c r="E2" s="26" t="n">
        <x:v>46155</x:v>
      </x:c>
      <x:c r="F2" s="19" t="str">
        <x:v>Open</x:v>
      </x:c>
      <x:c r="G2" s="19" t="str">
        <x:v>High</x:v>
      </x:c>
      <x:c r="H2" s="19" t="str">
        <x:v>Annual review invite pack</x:v>
      </x:c>
    </x:row>
    <x:row r="3" ht="15" hidden="0" customHeight="1">
      <x:c r="A3" s="19" t="str">
        <x:v>arbor-demo-1001</x:v>
      </x:c>
      <x:c r="B3" s="19" t="str">
        <x:v>Evidence</x:v>
      </x:c>
      <x:c r="C3" s="19" t="str">
        <x:v>Upload SALT delivery log</x:v>
      </x:c>
      <x:c r="D3" s="19" t="str">
        <x:v>SEN TA</x:v>
      </x:c>
      <x:c r="E3" s="26" t="n">
        <x:v>46157</x:v>
      </x:c>
      <x:c r="F3" s="19" t="str">
        <x:v>Open</x:v>
      </x:c>
      <x:c r="G3" s="19" t="str">
        <x:v>Medium</x:v>
      </x:c>
      <x:c r="H3" s="19" t="str">
        <x:v>Provision evidence summary</x:v>
      </x:c>
    </x:row>
    <x:row r="4" ht="15" hidden="0" customHeight="1">
      <x:c r="A4" s="19" t="str">
        <x:v>arbor-demo-1002</x:v>
      </x:c>
      <x:c r="B4" s="19" t="str">
        <x:v>APDR</x:v>
      </x:c>
      <x:c r="C4" s="19" t="str">
        <x:v>Complete assess-plan-do-review notes</x:v>
      </x:c>
      <x:c r="D4" s="19" t="str">
        <x:v>SENCO</x:v>
      </x:c>
      <x:c r="E4" s="26" t="n">
        <x:v>46160</x:v>
      </x:c>
      <x:c r="F4" s="19" t="str">
        <x:v>Open</x:v>
      </x:c>
      <x:c r="G4" s="19" t="str">
        <x:v>Medium</x:v>
      </x:c>
      <x:c r="H4" s="19" t="str">
        <x:v>APDR review document</x:v>
      </x:c>
    </x:row>
    <x:row r="5" ht="15" hidden="0" customHeight="1">
      <x:c r="A5" s="19" t="str">
        <x:v>arbor-demo-1003</x:v>
      </x:c>
      <x:c r="B5" s="19" t="str">
        <x:v>Evidence</x:v>
      </x:c>
      <x:c r="C5" s="19" t="str">
        <x:v>Attach therapy report and update Section F coverage</x:v>
      </x:c>
      <x:c r="D5" s="19" t="str">
        <x:v>SENCO</x:v>
      </x:c>
      <x:c r="E5" s="26" t="n">
        <x:v>46162</x:v>
      </x:c>
      <x:c r="F5" s="19" t="str">
        <x:v>Open</x:v>
      </x:c>
      <x:c r="G5" s="19" t="str">
        <x:v>Medium</x:v>
      </x:c>
      <x:c r="H5" s="19" t="str">
        <x:v>EHCP provision coverage report</x:v>
      </x:c>
    </x:row>
    <x:row r="6" ht="15" hidden="0" customHeight="1">
      <x:c r="A6" s="19" t="str">
        <x:v>arbor-demo-1004</x:v>
      </x:c>
      <x:c r="B6" s="19" t="str">
        <x:v>LA challenge</x:v>
      </x:c>
      <x:c r="C6" s="19" t="str">
        <x:v>Chase amendment response and transition placement</x:v>
      </x:c>
      <x:c r="D6" s="19" t="str">
        <x:v>Deputy SENCO</x:v>
      </x:c>
      <x:c r="E6" s="26" t="n">
        <x:v>46154</x:v>
      </x:c>
      <x:c r="F6" s="19" t="str">
        <x:v>Open</x:v>
      </x:c>
      <x:c r="G6" s="19" t="str">
        <x:v>High</x:v>
      </x:c>
      <x:c r="H6" s="19" t="str">
        <x:v>LA follow-up email</x:v>
      </x:c>
    </x:row>
    <x:row r="7" ht="15" hidden="0" customHeight="1">
      <x:c r="A7" s="19" t="str">
        <x:v>arbor-demo-1005</x:v>
      </x:c>
      <x:c r="B7" s="19" t="str">
        <x:v>APDR</x:v>
      </x:c>
      <x:c r="C7" s="19" t="str">
        <x:v>Collect parent and pupil voice</x:v>
      </x:c>
      <x:c r="D7" s="19" t="str">
        <x:v>Class teacher</x:v>
      </x:c>
      <x:c r="E7" s="26" t="n">
        <x:v>46171</x:v>
      </x:c>
      <x:c r="F7" s="19" t="str">
        <x:v>Open</x:v>
      </x:c>
      <x:c r="G7" s="19" t="str">
        <x:v>Low</x:v>
      </x:c>
      <x:c r="H7" s="19" t="str">
        <x:v>Parent/pupil voice form</x:v>
      </x:c>
    </x:row>
    <x:row r="8">
      <x:c r="E8" s="27"/>
    </x:row>
    <x:row r="9">
      <x:c r="E9" s="27"/>
    </x:row>
    <x:row r="10">
      <x:c r="E10" s="27"/>
    </x:row>
    <x:row r="11">
      <x:c r="E11" s="27"/>
    </x:row>
    <x:row r="12">
      <x:c r="E12" s="27"/>
    </x:row>
    <x:row r="13">
      <x:c r="E13" s="27"/>
    </x:row>
    <x:row r="14">
      <x:c r="E14" s="27"/>
    </x:row>
    <x:row r="15">
      <x:c r="E15" s="27"/>
    </x:row>
    <x:row r="16">
      <x:c r="E16" s="27"/>
    </x:row>
    <x:row r="17">
      <x:c r="E17" s="27"/>
    </x:row>
    <x:row r="18">
      <x:c r="E18" s="27"/>
    </x:row>
    <x:row r="19">
      <x:c r="E19" s="27"/>
    </x:row>
    <x:row r="20">
      <x:c r="E20" s="27"/>
    </x:row>
    <x:row r="21">
      <x:c r="E21" s="27"/>
    </x:row>
    <x:row r="22">
      <x:c r="E22" s="27"/>
    </x:row>
    <x:row r="23">
      <x:c r="E23" s="27"/>
    </x:row>
    <x:row r="24">
      <x:c r="E24" s="27"/>
    </x:row>
    <x:row r="25">
      <x:c r="E25" s="27"/>
    </x:row>
    <x:row r="26">
      <x:c r="E26" s="27"/>
    </x:row>
    <x:row r="27">
      <x:c r="E27" s="27"/>
    </x:row>
    <x:row r="28">
      <x:c r="E28" s="27"/>
    </x:row>
    <x:row r="29">
      <x:c r="E29" s="27"/>
    </x:row>
    <x:row r="30">
      <x:c r="E30" s="27"/>
    </x:row>
    <x:row r="31">
      <x:c r="E31" s="27"/>
    </x:row>
    <x:row r="32">
      <x:c r="E32" s="27"/>
    </x:row>
    <x:row r="33">
      <x:c r="E33" s="27"/>
    </x:row>
    <x:row r="34">
      <x:c r="E34" s="27"/>
    </x:row>
    <x:row r="35">
      <x:c r="E35" s="27"/>
    </x:row>
    <x:row r="36">
      <x:c r="E36" s="27"/>
    </x:row>
    <x:row r="37">
      <x:c r="E37" s="27"/>
    </x:row>
    <x:row r="38">
      <x:c r="E38" s="27"/>
    </x:row>
    <x:row r="39">
      <x:c r="E39" s="27"/>
    </x:row>
    <x:row r="40">
      <x:c r="E40" s="27"/>
    </x:row>
    <x:row r="41">
      <x:c r="E41" s="27"/>
    </x:row>
    <x:row r="42">
      <x:c r="E42" s="27"/>
    </x:row>
    <x:row r="43">
      <x:c r="E43" s="27"/>
    </x:row>
    <x:row r="44">
      <x:c r="E44" s="27"/>
    </x:row>
    <x:row r="45">
      <x:c r="E45" s="27"/>
    </x:row>
    <x:row r="46">
      <x:c r="E46" s="27"/>
    </x:row>
    <x:row r="47">
      <x:c r="E47" s="27"/>
    </x:row>
    <x:row r="48">
      <x:c r="E48" s="27"/>
    </x:row>
    <x:row r="49">
      <x:c r="E49" s="27"/>
    </x:row>
    <x:row r="50">
      <x:c r="E50" s="27"/>
    </x:row>
    <x:row r="51">
      <x:c r="E51" s="27"/>
    </x:row>
    <x:row r="52">
      <x:c r="E52" s="27"/>
    </x:row>
    <x:row r="53">
      <x:c r="E53" s="27"/>
    </x:row>
    <x:row r="54">
      <x:c r="E54" s="27"/>
    </x:row>
    <x:row r="55">
      <x:c r="E55" s="27"/>
    </x:row>
    <x:row r="56">
      <x:c r="E56" s="27"/>
    </x:row>
    <x:row r="57">
      <x:c r="E57" s="27"/>
    </x:row>
    <x:row r="58">
      <x:c r="E58" s="27"/>
    </x:row>
    <x:row r="59">
      <x:c r="E59" s="27"/>
    </x:row>
    <x:row r="60">
      <x:c r="E60" s="27"/>
    </x:row>
    <x:row r="61">
      <x:c r="E61" s="27"/>
    </x:row>
    <x:row r="62">
      <x:c r="E62" s="27"/>
    </x:row>
    <x:row r="63">
      <x:c r="E63" s="27"/>
    </x:row>
    <x:row r="64">
      <x:c r="E64" s="27"/>
    </x:row>
    <x:row r="65">
      <x:c r="E65" s="27"/>
    </x:row>
    <x:row r="66">
      <x:c r="E66" s="27"/>
    </x:row>
    <x:row r="67">
      <x:c r="E67" s="27"/>
    </x:row>
    <x:row r="68">
      <x:c r="E68" s="27"/>
    </x:row>
    <x:row r="69">
      <x:c r="E69" s="27"/>
    </x:row>
    <x:row r="70">
      <x:c r="E70" s="27"/>
    </x:row>
    <x:row r="71">
      <x:c r="E71" s="27"/>
    </x:row>
    <x:row r="72">
      <x:c r="E72" s="27"/>
    </x:row>
    <x:row r="73">
      <x:c r="E73" s="27"/>
    </x:row>
    <x:row r="74">
      <x:c r="E74" s="27"/>
    </x:row>
    <x:row r="75">
      <x:c r="E75" s="27"/>
    </x:row>
    <x:row r="76">
      <x:c r="E76" s="27"/>
    </x:row>
    <x:row r="77">
      <x:c r="E77" s="27"/>
    </x:row>
    <x:row r="78">
      <x:c r="E78" s="27"/>
    </x:row>
    <x:row r="79">
      <x:c r="E79" s="27"/>
    </x:row>
    <x:row r="80">
      <x:c r="E80" s="27"/>
    </x:row>
    <x:row r="81">
      <x:c r="E81" s="27"/>
    </x:row>
    <x:row r="82">
      <x:c r="E82" s="27"/>
    </x:row>
    <x:row r="83">
      <x:c r="E83" s="27"/>
    </x:row>
    <x:row r="84">
      <x:c r="E84" s="27"/>
    </x:row>
    <x:row r="85">
      <x:c r="E85" s="27"/>
    </x:row>
    <x:row r="86">
      <x:c r="E86" s="27"/>
    </x:row>
    <x:row r="87">
      <x:c r="E87" s="27"/>
    </x:row>
    <x:row r="88">
      <x:c r="E88" s="27"/>
    </x:row>
    <x:row r="89">
      <x:c r="E89" s="27"/>
    </x:row>
    <x:row r="90">
      <x:c r="E90" s="27"/>
    </x:row>
    <x:row r="91">
      <x:c r="E91" s="27"/>
    </x:row>
    <x:row r="92">
      <x:c r="E92" s="27"/>
    </x:row>
    <x:row r="93">
      <x:c r="E93" s="27"/>
    </x:row>
    <x:row r="94">
      <x:c r="E94" s="27"/>
    </x:row>
    <x:row r="95">
      <x:c r="E95" s="27"/>
    </x:row>
    <x:row r="96">
      <x:c r="E96" s="27"/>
    </x:row>
    <x:row r="97">
      <x:c r="E97" s="27"/>
    </x:row>
    <x:row r="98">
      <x:c r="E98" s="27"/>
    </x:row>
    <x:row r="99">
      <x:c r="E99" s="27"/>
    </x:row>
    <x:row r="100">
      <x:c r="E100" s="27"/>
    </x:row>
  </x:sheetData>
  <x:dataValidations count="1">
    <x:dataValidation type="list" allowBlank="0" showDropDown="0" sqref="F2:F100">
      <x:formula1>"Open,In progress,Complete,Blocked"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.789999961853027" hidden="0" customWidth="1"/>
    <x:col min="2" max="2" width="13.859999656677246" hidden="0" customWidth="1"/>
    <x:col min="3" max="3" width="27.729999542236328" hidden="0" customWidth="1"/>
    <x:col min="4" max="4" width="28.940000534057617" hidden="0" customWidth="1"/>
    <x:col min="5" max="5" width="17.09000015258789" hidden="0" customWidth="1"/>
    <x:col min="6" max="6" width="11.170000076293945" hidden="0" customWidth="1"/>
    <x:col min="7" max="7" width="14.539999961853027" hidden="0" customWidth="1"/>
    <x:col min="8" max="8" width="15.069999694824219" hidden="0" customWidth="1"/>
  </x:cols>
  <x:sheetData>
    <x:row r="1" ht="15" hidden="0" customHeight="1">
      <x:c r="A1" s="25" t="str">
        <x:v>source_record_id</x:v>
      </x:c>
      <x:c r="B1" s="25" t="str">
        <x:v>evidence_type</x:v>
      </x:c>
      <x:c r="C1" s="25" t="str">
        <x:v>file_name</x:v>
      </x:c>
      <x:c r="D1" s="25" t="str">
        <x:v>source_location</x:v>
      </x:c>
      <x:c r="E1" s="25" t="str">
        <x:v>linked_need_or_action</x:v>
      </x:c>
      <x:c r="F1" s="25" t="str">
        <x:v>uploaded_date</x:v>
      </x:c>
      <x:c r="G1" s="25" t="str">
        <x:v>ai_summary_status</x:v>
      </x:c>
      <x:c r="H1" s="25" t="str">
        <x:v>confidentiality_level</x:v>
      </x:c>
    </x:row>
    <x:row r="2" ht="15" hidden="0" customHeight="1">
      <x:c r="A2" s="19" t="str">
        <x:v>arbor-demo-1001</x:v>
      </x:c>
      <x:c r="B2" s="19" t="str">
        <x:v>Meeting minutes</x:v>
      </x:c>
      <x:c r="C2" s="19" t="str">
        <x:v>Amelia annual review prep notes.docx</x:v>
      </x:c>
      <x:c r="D2" s="19" t="str">
        <x:v>Drive/SEND/Amelia R/Reviews</x:v>
      </x:c>
      <x:c r="E2" s="19" t="str">
        <x:v>Annual review</x:v>
      </x:c>
      <x:c r="F2" s="26" t="n">
        <x:v>46150</x:v>
      </x:c>
      <x:c r="G2" s="19" t="str">
        <x:v>Summarised</x:v>
      </x:c>
      <x:c r="H2" s="19" t="str">
        <x:v>SEND restricted</x:v>
      </x:c>
    </x:row>
    <x:row r="3" ht="15" hidden="0" customHeight="1">
      <x:c r="A3" s="19" t="str">
        <x:v>arbor-demo-1001</x:v>
      </x:c>
      <x:c r="B3" s="19" t="str">
        <x:v>Provision log</x:v>
      </x:c>
      <x:c r="C3" s="19" t="str">
        <x:v>SALT delivery log April.xlsx</x:v>
      </x:c>
      <x:c r="D3" s="19" t="str">
        <x:v>Drive/SEND/Amelia R/Provision</x:v>
      </x:c>
      <x:c r="E3" s="19" t="str">
        <x:v>F-002</x:v>
      </x:c>
      <x:c r="F3" s="26" t="n">
        <x:v>46136</x:v>
      </x:c>
      <x:c r="G3" s="19" t="str">
        <x:v>Needs update</x:v>
      </x:c>
      <x:c r="H3" s="19" t="str">
        <x:v>SEND restricted</x:v>
      </x:c>
    </x:row>
    <x:row r="4" ht="15" hidden="0" customHeight="1">
      <x:c r="A4" s="19" t="str">
        <x:v>arbor-demo-1003</x:v>
      </x:c>
      <x:c r="B4" s="19" t="str">
        <x:v>Therapy report</x:v>
      </x:c>
      <x:c r="C4" s="19" t="str">
        <x:v>OT advice Sofia May.pdf</x:v>
      </x:c>
      <x:c r="D4" s="19" t="str">
        <x:v>Drive/SEND/Sofia B/Professional advice</x:v>
      </x:c>
      <x:c r="E4" s="19" t="str">
        <x:v>F-003</x:v>
      </x:c>
      <x:c r="F4" s="26" t="n">
        <x:v>46149</x:v>
      </x:c>
      <x:c r="G4" s="19" t="str">
        <x:v>Summarised</x:v>
      </x:c>
      <x:c r="H4" s="19" t="str">
        <x:v>SEND restricted</x:v>
      </x:c>
    </x:row>
    <x:row r="5" ht="15" hidden="0" customHeight="1">
      <x:c r="A5" s="19" t="str">
        <x:v>arbor-demo-1004</x:v>
      </x:c>
      <x:c r="B5" s="19" t="str">
        <x:v>LA correspondence</x:v>
      </x:c>
      <x:c r="C5" s="19" t="str">
        <x:v>LA amendment response chase.msg</x:v>
      </x:c>
      <x:c r="D5" s="19" t="str">
        <x:v>Drive/SEND/Noah T/LA correspondence</x:v>
      </x:c>
      <x:c r="E5" s="19" t="str">
        <x:v>LA challenge</x:v>
      </x:c>
      <x:c r="F5" s="26" t="n">
        <x:v>46151</x:v>
      </x:c>
      <x:c r="G5" s="19" t="str">
        <x:v>Summarised</x:v>
      </x:c>
      <x:c r="H5" s="19" t="str">
        <x:v>SEND restricted</x:v>
      </x:c>
    </x:row>
    <x:row r="6" ht="15" hidden="0" customHeight="1">
      <x:c r="A6" s="19" t="str">
        <x:v>arbor-demo-1005</x:v>
      </x:c>
      <x:c r="B6" s="19" t="str">
        <x:v>Teacher evidence</x:v>
      </x:c>
      <x:c r="C6" s="19" t="str">
        <x:v>Lily class observations.docx</x:v>
      </x:c>
      <x:c r="D6" s="19" t="str">
        <x:v>Drive/SEND/Lily P/APDR</x:v>
      </x:c>
      <x:c r="E6" s="19" t="str">
        <x:v>APDR</x:v>
      </x:c>
      <x:c r="F6" s="26" t="n">
        <x:v>46145</x:v>
      </x:c>
      <x:c r="G6" s="19" t="str">
        <x:v>Queued</x:v>
      </x:c>
      <x:c r="H6" s="19" t="str">
        <x:v>SEND restricted</x:v>
      </x:c>
    </x:row>
    <x:row r="7">
      <x:c r="F7" s="27"/>
    </x:row>
    <x:row r="8">
      <x:c r="F8" s="27"/>
    </x:row>
    <x:row r="9">
      <x:c r="F9" s="27"/>
    </x:row>
    <x:row r="10">
      <x:c r="F10" s="27"/>
    </x:row>
    <x:row r="11">
      <x:c r="F11" s="27"/>
    </x:row>
    <x:row r="12">
      <x:c r="F12" s="27"/>
    </x:row>
    <x:row r="13">
      <x:c r="F13" s="27"/>
    </x:row>
    <x:row r="14">
      <x:c r="F14" s="27"/>
    </x:row>
    <x:row r="15">
      <x:c r="F15" s="27"/>
    </x:row>
    <x:row r="16">
      <x:c r="F16" s="27"/>
    </x:row>
    <x:row r="17">
      <x:c r="F17" s="27"/>
    </x:row>
    <x:row r="18">
      <x:c r="F18" s="27"/>
    </x:row>
    <x:row r="19">
      <x:c r="F19" s="27"/>
    </x:row>
    <x:row r="20">
      <x:c r="F20" s="27"/>
    </x:row>
    <x:row r="21">
      <x:c r="F21" s="27"/>
    </x:row>
    <x:row r="22">
      <x:c r="F22" s="27"/>
    </x:row>
    <x:row r="23">
      <x:c r="F23" s="27"/>
    </x:row>
    <x:row r="24">
      <x:c r="F24" s="27"/>
    </x:row>
    <x:row r="25">
      <x:c r="F25" s="27"/>
    </x:row>
    <x:row r="26">
      <x:c r="F26" s="27"/>
    </x:row>
    <x:row r="27">
      <x:c r="F27" s="27"/>
    </x:row>
    <x:row r="28">
      <x:c r="F28" s="27"/>
    </x:row>
    <x:row r="29">
      <x:c r="F29" s="27"/>
    </x:row>
    <x:row r="30">
      <x:c r="F30" s="27"/>
    </x:row>
    <x:row r="31">
      <x:c r="F31" s="27"/>
    </x:row>
    <x:row r="32">
      <x:c r="F32" s="27"/>
    </x:row>
    <x:row r="33">
      <x:c r="F33" s="27"/>
    </x:row>
    <x:row r="34">
      <x:c r="F34" s="27"/>
    </x:row>
    <x:row r="35">
      <x:c r="F35" s="27"/>
    </x:row>
    <x:row r="36">
      <x:c r="F36" s="27"/>
    </x:row>
    <x:row r="37">
      <x:c r="F37" s="27"/>
    </x:row>
    <x:row r="38">
      <x:c r="F38" s="27"/>
    </x:row>
    <x:row r="39">
      <x:c r="F39" s="27"/>
    </x:row>
    <x:row r="40">
      <x:c r="F40" s="27"/>
    </x:row>
    <x:row r="41">
      <x:c r="F41" s="27"/>
    </x:row>
    <x:row r="42">
      <x:c r="F42" s="27"/>
    </x:row>
    <x:row r="43">
      <x:c r="F43" s="27"/>
    </x:row>
    <x:row r="44">
      <x:c r="F44" s="27"/>
    </x:row>
    <x:row r="45">
      <x:c r="F45" s="27"/>
    </x:row>
    <x:row r="46">
      <x:c r="F46" s="27"/>
    </x:row>
    <x:row r="47">
      <x:c r="F47" s="27"/>
    </x:row>
    <x:row r="48">
      <x:c r="F48" s="27"/>
    </x:row>
    <x:row r="49">
      <x:c r="F49" s="27"/>
    </x:row>
    <x:row r="50">
      <x:c r="F50" s="27"/>
    </x:row>
    <x:row r="51">
      <x:c r="F51" s="27"/>
    </x:row>
    <x:row r="52">
      <x:c r="F52" s="27"/>
    </x:row>
    <x:row r="53">
      <x:c r="F53" s="27"/>
    </x:row>
    <x:row r="54">
      <x:c r="F54" s="27"/>
    </x:row>
    <x:row r="55">
      <x:c r="F55" s="27"/>
    </x:row>
    <x:row r="56">
      <x:c r="F56" s="27"/>
    </x:row>
    <x:row r="57">
      <x:c r="F57" s="27"/>
    </x:row>
    <x:row r="58">
      <x:c r="F58" s="27"/>
    </x:row>
    <x:row r="59">
      <x:c r="F59" s="27"/>
    </x:row>
    <x:row r="60">
      <x:c r="F60" s="27"/>
    </x:row>
    <x:row r="61">
      <x:c r="F61" s="27"/>
    </x:row>
    <x:row r="62">
      <x:c r="F62" s="27"/>
    </x:row>
    <x:row r="63">
      <x:c r="F63" s="27"/>
    </x:row>
    <x:row r="64">
      <x:c r="F64" s="27"/>
    </x:row>
    <x:row r="65">
      <x:c r="F65" s="27"/>
    </x:row>
    <x:row r="66">
      <x:c r="F66" s="27"/>
    </x:row>
    <x:row r="67">
      <x:c r="F67" s="27"/>
    </x:row>
    <x:row r="68">
      <x:c r="F68" s="27"/>
    </x:row>
    <x:row r="69">
      <x:c r="F69" s="27"/>
    </x:row>
    <x:row r="70">
      <x:c r="F70" s="27"/>
    </x:row>
    <x:row r="71">
      <x:c r="F71" s="27"/>
    </x:row>
    <x:row r="72">
      <x:c r="F72" s="27"/>
    </x:row>
    <x:row r="73">
      <x:c r="F73" s="27"/>
    </x:row>
    <x:row r="74">
      <x:c r="F74" s="27"/>
    </x:row>
    <x:row r="75">
      <x:c r="F75" s="27"/>
    </x:row>
    <x:row r="76">
      <x:c r="F76" s="27"/>
    </x:row>
    <x:row r="77">
      <x:c r="F77" s="27"/>
    </x:row>
    <x:row r="78">
      <x:c r="F78" s="27"/>
    </x:row>
    <x:row r="79">
      <x:c r="F79" s="27"/>
    </x:row>
    <x:row r="80">
      <x:c r="F80" s="27"/>
    </x:row>
    <x:row r="81">
      <x:c r="F81" s="27"/>
    </x:row>
    <x:row r="82">
      <x:c r="F82" s="27"/>
    </x:row>
    <x:row r="83">
      <x:c r="F83" s="27"/>
    </x:row>
    <x:row r="84">
      <x:c r="F84" s="27"/>
    </x:row>
    <x:row r="85">
      <x:c r="F85" s="27"/>
    </x:row>
    <x:row r="86">
      <x:c r="F86" s="27"/>
    </x:row>
    <x:row r="87">
      <x:c r="F87" s="27"/>
    </x:row>
    <x:row r="88">
      <x:c r="F88" s="27"/>
    </x:row>
    <x:row r="89">
      <x:c r="F89" s="27"/>
    </x:row>
    <x:row r="90">
      <x:c r="F90" s="27"/>
    </x:row>
    <x:row r="91">
      <x:c r="F91" s="27"/>
    </x:row>
    <x:row r="92">
      <x:c r="F92" s="27"/>
    </x:row>
    <x:row r="93">
      <x:c r="F93" s="27"/>
    </x:row>
    <x:row r="94">
      <x:c r="F94" s="27"/>
    </x:row>
    <x:row r="95">
      <x:c r="F95" s="27"/>
    </x:row>
    <x:row r="96">
      <x:c r="F96" s="27"/>
    </x:row>
    <x:row r="97">
      <x:c r="F97" s="27"/>
    </x:row>
    <x:row r="98">
      <x:c r="F98" s="27"/>
    </x:row>
    <x:row r="99">
      <x:c r="F99" s="27"/>
    </x:row>
    <x:row r="100">
      <x:c r="F100" s="27"/>
    </x:row>
  </x:sheetData>
  <x:pageMargins left="0.7" right="0.7" top="0.75" bottom="0.75" header="0.3" footer="0.3"/>
</x:worksheet>
</file>